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ukes\OneDrive\Desktop\EXCEL_PROJECT\"/>
    </mc:Choice>
  </mc:AlternateContent>
  <xr:revisionPtr revIDLastSave="0" documentId="13_ncr:1_{9DFBFAB9-8C72-403D-811E-19F773EEA55D}" xr6:coauthVersionLast="47" xr6:coauthVersionMax="47" xr10:uidLastSave="{00000000-0000-0000-0000-000000000000}"/>
  <bookViews>
    <workbookView xWindow="-108" yWindow="-108" windowWidth="23256" windowHeight="12456" activeTab="5" xr2:uid="{00000000-000D-0000-FFFF-FFFF00000000}"/>
  </bookViews>
  <sheets>
    <sheet name="Exam_Quation" sheetId="2" r:id="rId1"/>
    <sheet name="Sales_Data" sheetId="1" r:id="rId2"/>
    <sheet name="Formula_sheet" sheetId="3" r:id="rId3"/>
    <sheet name="Pivot_table" sheetId="4" r:id="rId4"/>
    <sheet name="Instructions" sheetId="6" r:id="rId5"/>
    <sheet name="Dashboard" sheetId="7" r:id="rId6"/>
  </sheets>
  <definedNames>
    <definedName name="NativeTimeline_Order_Date">#N/A</definedName>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7" l="1"/>
  <c r="X11" i="7"/>
  <c r="S11" i="7"/>
  <c r="N11" i="7"/>
  <c r="C3" i="3"/>
  <c r="D3" i="3"/>
  <c r="F3" i="3"/>
  <c r="G3"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2"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2"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2"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2"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2" i="3"/>
  <c r="D11" i="7"/>
</calcChain>
</file>

<file path=xl/sharedStrings.xml><?xml version="1.0" encoding="utf-8"?>
<sst xmlns="http://schemas.openxmlformats.org/spreadsheetml/2006/main" count="1689" uniqueCount="429">
  <si>
    <t>Order ID</t>
  </si>
  <si>
    <t>Order Date</t>
  </si>
  <si>
    <t>Region</t>
  </si>
  <si>
    <t>Category</t>
  </si>
  <si>
    <t>Customer_Name</t>
  </si>
  <si>
    <t>Quantity</t>
  </si>
  <si>
    <t>Sales</t>
  </si>
  <si>
    <t>Discount</t>
  </si>
  <si>
    <t>Profit</t>
  </si>
  <si>
    <t>Profit Margin</t>
  </si>
  <si>
    <t>ORD100002</t>
  </si>
  <si>
    <t>West</t>
  </si>
  <si>
    <t>Furniture</t>
  </si>
  <si>
    <t>Desk</t>
  </si>
  <si>
    <t>Vivaan Shah</t>
  </si>
  <si>
    <t>ORD100003</t>
  </si>
  <si>
    <t>East</t>
  </si>
  <si>
    <t>Monitor</t>
  </si>
  <si>
    <t>Ritika Sharma</t>
  </si>
  <si>
    <t>ORD100004</t>
  </si>
  <si>
    <t>North</t>
  </si>
  <si>
    <t>Technology</t>
  </si>
  <si>
    <t>Mohit Agarwal</t>
  </si>
  <si>
    <t>ORD100005</t>
  </si>
  <si>
    <t>ORD100006</t>
  </si>
  <si>
    <t>Table</t>
  </si>
  <si>
    <t>Aditya Kumar</t>
  </si>
  <si>
    <t>ORD100007</t>
  </si>
  <si>
    <t>Ananya Gupta</t>
  </si>
  <si>
    <t>ORD100008</t>
  </si>
  <si>
    <t>South</t>
  </si>
  <si>
    <t>Laptop</t>
  </si>
  <si>
    <t>ORD100009</t>
  </si>
  <si>
    <t>Office Supplies</t>
  </si>
  <si>
    <t>Printer</t>
  </si>
  <si>
    <t>Arjun Singh</t>
  </si>
  <si>
    <t>ORD100010</t>
  </si>
  <si>
    <t>Rohan Desai</t>
  </si>
  <si>
    <t>ORD100011</t>
  </si>
  <si>
    <t>Phone</t>
  </si>
  <si>
    <t>ORD100012</t>
  </si>
  <si>
    <t>Pooja Yadav</t>
  </si>
  <si>
    <t>ORD100013</t>
  </si>
  <si>
    <t>Notebook</t>
  </si>
  <si>
    <t>Kavya Mehta</t>
  </si>
  <si>
    <t>ORD100014</t>
  </si>
  <si>
    <t>Chair</t>
  </si>
  <si>
    <t>ORD100015</t>
  </si>
  <si>
    <t>Sanjay Patel</t>
  </si>
  <si>
    <t>ORD100016</t>
  </si>
  <si>
    <t>Nisha Roy</t>
  </si>
  <si>
    <t>ORD100017</t>
  </si>
  <si>
    <t>ORD100018</t>
  </si>
  <si>
    <t>Krishna Verma</t>
  </si>
  <si>
    <t>ORD100019</t>
  </si>
  <si>
    <t>Rahul Jain</t>
  </si>
  <si>
    <t>ORD100020</t>
  </si>
  <si>
    <t>ORD100021</t>
  </si>
  <si>
    <t>ORD100022</t>
  </si>
  <si>
    <t>ORD100023</t>
  </si>
  <si>
    <t>ORD100024</t>
  </si>
  <si>
    <t>Neha Kapoor</t>
  </si>
  <si>
    <t>ORD100025</t>
  </si>
  <si>
    <t>ORD100026</t>
  </si>
  <si>
    <t>ORD100027</t>
  </si>
  <si>
    <t>ORD100028</t>
  </si>
  <si>
    <t>Aarav Patel</t>
  </si>
  <si>
    <t>ORD100029</t>
  </si>
  <si>
    <t>ORD100030</t>
  </si>
  <si>
    <t>ORD100031</t>
  </si>
  <si>
    <t>ORD100032</t>
  </si>
  <si>
    <t>Amit Mishra</t>
  </si>
  <si>
    <t>ORD100033</t>
  </si>
  <si>
    <t>ORD100034</t>
  </si>
  <si>
    <t>ORD100035</t>
  </si>
  <si>
    <t>Diya Sharma</t>
  </si>
  <si>
    <t>ORD100036</t>
  </si>
  <si>
    <t>ORD100037</t>
  </si>
  <si>
    <t>Karan Mehta</t>
  </si>
  <si>
    <t>ORD100038</t>
  </si>
  <si>
    <t>ORD100039</t>
  </si>
  <si>
    <t>ORD100040</t>
  </si>
  <si>
    <t>ORD100041</t>
  </si>
  <si>
    <t>ORD100042</t>
  </si>
  <si>
    <t>Sneha Joshi</t>
  </si>
  <si>
    <t>ORD100043</t>
  </si>
  <si>
    <t>ORD100044</t>
  </si>
  <si>
    <t>ORD100045</t>
  </si>
  <si>
    <t>ORD100046</t>
  </si>
  <si>
    <t>ORD100047</t>
  </si>
  <si>
    <t>Priya Patel</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</si>
  <si>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</si>
  <si>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</si>
  <si>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</si>
  <si>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</si>
  <si>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</si>
  <si>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</si>
  <si>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</si>
  <si>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</si>
  <si>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</si>
  <si>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</si>
  <si>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</si>
  <si>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</si>
  <si>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</si>
  <si>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</si>
  <si>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</si>
  <si>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</si>
  <si>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</si>
  <si>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</si>
  <si>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</si>
  <si>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</si>
  <si>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</si>
  <si>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</si>
  <si>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</si>
  <si>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</si>
  <si>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</si>
  <si>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</si>
  <si>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</si>
  <si>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</si>
  <si>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</si>
  <si>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</si>
  <si>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</si>
  <si>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</si>
  <si>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</si>
  <si>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</si>
  <si>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</si>
  <si>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</si>
  <si>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</si>
  <si>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</si>
  <si>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</si>
  <si>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</si>
  <si>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</si>
  <si>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</si>
  <si>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</si>
  <si>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</si>
  <si>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</si>
  <si>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</si>
  <si>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</si>
  <si>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</si>
  <si>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</si>
  <si>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</si>
  <si>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</si>
  <si>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</si>
  <si>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</si>
  <si>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</si>
  <si>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</si>
  <si>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</si>
  <si>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</si>
  <si>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</si>
  <si>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</si>
  <si>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</si>
  <si>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</si>
  <si>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</si>
  <si>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</si>
  <si>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</si>
  <si>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</si>
  <si>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</si>
  <si>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</si>
  <si>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</si>
  <si>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</si>
  <si>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</si>
  <si>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</si>
  <si>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</si>
  <si>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</si>
  <si>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</si>
  <si>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</si>
  <si>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</si>
  <si>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</si>
  <si>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</si>
  <si>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</si>
  <si>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</si>
  <si>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</si>
  <si>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</si>
  <si>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</si>
  <si>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</si>
  <si>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</si>
  <si>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</si>
  <si>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</si>
  <si>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</si>
  <si>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</si>
  <si>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</si>
  <si>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</si>
  <si>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</si>
  <si>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</si>
  <si>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</si>
  <si>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</si>
  <si>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</si>
  <si>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</si>
  <si>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</si>
  <si>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</si>
  <si>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</si>
  <si>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</si>
  <si>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</si>
  <si>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</si>
  <si>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</si>
  <si>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</si>
  <si>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</si>
  <si>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</si>
  <si>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</si>
  <si>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</si>
  <si>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</si>
  <si>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</si>
  <si>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</si>
  <si>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</si>
  <si>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</si>
  <si>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</si>
  <si>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</si>
  <si>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</si>
  <si>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</si>
  <si>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</si>
  <si>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</si>
  <si>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</si>
  <si>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</si>
  <si>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</si>
  <si>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</si>
  <si>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</si>
  <si>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</si>
  <si>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</si>
  <si>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</si>
  <si>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</si>
  <si>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</si>
  <si>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</si>
  <si>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</si>
  <si>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</si>
  <si>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</si>
  <si>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</si>
  <si>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</si>
  <si>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</si>
  <si>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</si>
  <si>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</si>
  <si>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</si>
  <si>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</si>
  <si>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</si>
  <si>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</si>
  <si>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</si>
  <si>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</si>
  <si>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</si>
  <si>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</si>
  <si>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</si>
  <si>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</si>
  <si>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</si>
  <si>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</si>
  <si>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</si>
  <si>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</si>
  <si>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</si>
  <si>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</si>
  <si>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</si>
  <si>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</si>
  <si>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</si>
  <si>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</si>
  <si>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</si>
  <si>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</si>
  <si>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</si>
  <si>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</si>
  <si>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</si>
  <si>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</si>
  <si>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</si>
  <si>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</si>
  <si>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</si>
  <si>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</si>
  <si>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</si>
  <si>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</si>
  <si>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</si>
  <si>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</si>
  <si>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</si>
  <si>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</si>
  <si>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</si>
  <si>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</si>
  <si>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</si>
  <si>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</si>
  <si>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</si>
  <si>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</si>
  <si>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</si>
  <si>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</si>
  <si>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</si>
  <si>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</si>
  <si>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</si>
  <si>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</si>
  <si>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</si>
  <si>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</si>
  <si>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</si>
  <si>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</si>
  <si>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</si>
  <si>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</si>
  <si>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</si>
  <si>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</si>
  <si>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</si>
  <si>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</si>
  <si>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</si>
  <si>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</si>
  <si>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</si>
  <si>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</si>
  <si>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</si>
  <si>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</si>
  <si>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</si>
  <si>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</si>
  <si>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</si>
  <si>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</si>
  <si>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</si>
  <si>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</si>
  <si>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</si>
  <si>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</si>
  <si>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</si>
  <si>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</si>
  <si>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</si>
  <si>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</si>
  <si>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</si>
  <si>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</si>
  <si>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</si>
  <si>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</si>
  <si>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</si>
  <si>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</si>
  <si>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</si>
  <si>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</si>
  <si>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</si>
  <si>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</si>
  <si>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</si>
  <si>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</si>
  <si>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</si>
  <si>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</si>
  <si>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</si>
  <si>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</si>
  <si>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</si>
  <si>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</si>
  <si>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</si>
  <si>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</si>
  <si>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</si>
  <si>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</si>
  <si>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</si>
  <si>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</si>
  <si>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</si>
  <si>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</si>
  <si>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</si>
  <si>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</si>
  <si>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</si>
  <si>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</si>
  <si>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</si>
  <si>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</si>
  <si>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</si>
  <si>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</si>
  <si>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</si>
  <si>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</si>
  <si>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</si>
  <si>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</si>
  <si>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</si>
  <si>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Product_name</t>
  </si>
  <si>
    <t>Product_Name</t>
  </si>
  <si>
    <t>Sr.No</t>
  </si>
  <si>
    <t>Task Description</t>
  </si>
  <si>
    <t>Time Limit: 3 hours</t>
  </si>
  <si>
    <t>Choose any dataset from Kaggle/UCI ML Repository</t>
  </si>
  <si>
    <t>Create an interactive dashboard</t>
  </si>
  <si>
    <t>Complete tasks in order listed</t>
  </si>
  <si>
    <t>Save work every 15 minutes</t>
  </si>
  <si>
    <t>Submit final file as 'YourName_ExcelDashboard.xlsx'</t>
  </si>
  <si>
    <t>Skills Tested</t>
  </si>
  <si>
    <t>Time Estimate Min</t>
  </si>
  <si>
    <t>Weightage</t>
  </si>
  <si>
    <t>Dataset Selection &amp; Import</t>
  </si>
  <si>
    <t>Data Import, Initial Cleaning</t>
  </si>
  <si>
    <t>Data Cleaning &amp; Preparation</t>
  </si>
  <si>
    <t>Remove duplicates, Handle missing values, Format data types</t>
  </si>
  <si>
    <t>Create Pivot Tables</t>
  </si>
  <si>
    <t>Data Analysis, Summarization</t>
  </si>
  <si>
    <t>Advanced Formulas</t>
  </si>
  <si>
    <t>VLOOKUP, INDEX-MATCH, IF conditions, nested functions</t>
  </si>
  <si>
    <t>Data Visualization</t>
  </si>
  <si>
    <t>Charts, Conditional Formatting</t>
  </si>
  <si>
    <t>Interactive Dashboard</t>
  </si>
  <si>
    <t>Slicers, Timeline, Dynamic ranges</t>
  </si>
  <si>
    <t>Documentation</t>
  </si>
  <si>
    <t>Sheet organization, Naming conventions, Instructions</t>
  </si>
  <si>
    <t>Producat_category</t>
  </si>
  <si>
    <t>VLOOKUP</t>
  </si>
  <si>
    <t>INDEX_MATCH</t>
  </si>
  <si>
    <t>Total Revenue</t>
  </si>
  <si>
    <t>IF</t>
  </si>
  <si>
    <t>Neastes IF</t>
  </si>
  <si>
    <t>AND+IF</t>
  </si>
  <si>
    <t>Color Legend</t>
  </si>
  <si>
    <t>Color</t>
  </si>
  <si>
    <t>Meaning</t>
  </si>
  <si>
    <t>Light Green</t>
  </si>
  <si>
    <t>High Revenue / Target Achieved</t>
  </si>
  <si>
    <t>Light Yellow</t>
  </si>
  <si>
    <t>Grade B</t>
  </si>
  <si>
    <t>Light Blue</t>
  </si>
  <si>
    <t>Grade C</t>
  </si>
  <si>
    <t>Light Red</t>
  </si>
  <si>
    <t>Grade D</t>
  </si>
  <si>
    <t>White</t>
  </si>
  <si>
    <t>Normal Data</t>
  </si>
  <si>
    <t>Grand Total</t>
  </si>
  <si>
    <t>Sum of Sales</t>
  </si>
  <si>
    <t>Sum of Quantity</t>
  </si>
  <si>
    <t>Sum of Profit</t>
  </si>
  <si>
    <t>Sales Dashboard - Excel Practical Exam</t>
  </si>
  <si>
    <t>Student: Mukesh Kote | File: MukeshKote_ExcelDashboard.xlsx</t>
  </si>
  <si>
    <t xml:space="preserve">Purpose </t>
  </si>
  <si>
    <t>Sales_Data</t>
  </si>
  <si>
    <t>Raw dataset-300 Orders</t>
  </si>
  <si>
    <t>Pivot_table</t>
  </si>
  <si>
    <t>Data Analysis -4 Pivot Tables</t>
  </si>
  <si>
    <t>Formula_Sheet</t>
  </si>
  <si>
    <t>VLOOKUP, INDEX-MATCH, IF formulas</t>
  </si>
  <si>
    <t>Dashboard</t>
  </si>
  <si>
    <t>Interactive charts with Slicers</t>
  </si>
  <si>
    <t>Instructions</t>
  </si>
  <si>
    <t>Documentation - This sheet</t>
  </si>
  <si>
    <t>Click Region Slicer to filter all charts by region</t>
  </si>
  <si>
    <t>Click Category Slicer to filter by Furniture, Technology or Office Supplies</t>
  </si>
  <si>
    <t>Use Timeline to filter data by date range</t>
  </si>
  <si>
    <t>Hold Ctrl and click multiple items in slicer for multi-select</t>
  </si>
  <si>
    <t>Click X button on slicer to clear the filter</t>
  </si>
  <si>
    <t>How to Use the Dashboard</t>
  </si>
  <si>
    <t>Sheet Name</t>
  </si>
  <si>
    <t>Total Sales</t>
  </si>
  <si>
    <t xml:space="preserve"> Total Profit</t>
  </si>
  <si>
    <t xml:space="preserve"> Total Quantity</t>
  </si>
  <si>
    <t xml:space="preserve"> Avg Discount</t>
  </si>
  <si>
    <t>Best Region</t>
  </si>
  <si>
    <t xml:space="preserve">Key Insights </t>
  </si>
  <si>
    <t xml:space="preserve"> Technology best category (35%)</t>
  </si>
  <si>
    <t>South region leads in sales</t>
  </si>
  <si>
    <t>Notebook is top selling product</t>
  </si>
  <si>
    <t>Avg profit margin: 16.66%</t>
  </si>
  <si>
    <t>Notebook is best selling product</t>
  </si>
  <si>
    <t>Printer has lowest sales</t>
  </si>
  <si>
    <t>NovaMart Solutions Pvt.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</si>
</sst>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Red]&quot;₹&quot;\ #,##0"/>
  </numFmts>
  <fonts count="12" x14ac:knownFonts="1">
    <font>
      <sz val="11"/>
      <color theme="1"/>
      <name val="Trebuchet MS"/>
      <family val="2"/>
      <scheme val="minor"/>
    </font>
    <font>
      <b/>
      <sz val="11"/>
      <name val="Calibri"/>
    </font>
    <font>
      <b/>
      <sz val="11"/>
      <color theme="1"/>
      <name val="Trebuchet MS"/>
      <family val="2"/>
      <scheme val="minor"/>
    </font>
    <font>
      <b/>
      <sz val="11"/>
      <name val="Calibri"/>
      <family val="2"/>
    </font>
    <font>
      <b/>
      <sz val="12"/>
      <color theme="1"/>
      <name val="Trebuchet MS"/>
      <family val="2"/>
      <scheme val="minor"/>
    </font>
    <font>
      <b/>
      <sz val="16"/>
      <color theme="1"/>
      <name val="Trebuchet MS"/>
      <family val="2"/>
      <scheme val="minor"/>
    </font>
    <font>
      <b/>
      <sz val="14"/>
      <color theme="1"/>
      <name val="Trebuchet MS"/>
      <family val="2"/>
      <scheme val="minor"/>
    </font>
    <font>
      <sz val="18"/>
      <color theme="1"/>
      <name val="Trebuchet MS"/>
      <family val="2"/>
      <scheme val="minor"/>
    </font>
    <font>
      <b/>
      <sz val="20"/>
      <color theme="1"/>
      <name val="Trebuchet MS"/>
      <family val="2"/>
      <scheme val="minor"/>
    </font>
    <font>
      <b/>
      <sz val="18"/>
      <color theme="1"/>
      <name val="Trebuchet MS"/>
      <family val="2"/>
      <scheme val="minor"/>
    </font>
    <font>
      <sz val="72"/>
      <color theme="0"/>
      <name val="Algerian"/>
      <family val="5"/>
    </font>
    <font>
      <b/>
      <sz val="36"/>
      <color rgb="FF009EDE"/>
      <name val="Trebuchet MS"/>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4" tint="0.39997558519241921"/>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top/>
      <bottom style="medium">
        <color theme="4" tint="0.39997558519241921"/>
      </bottom>
      <diagonal/>
    </border>
    <border>
      <left style="medium">
        <color theme="4" tint="0.39997558519241921"/>
      </left>
      <right/>
      <top style="medium">
        <color theme="4" tint="0.39997558519241921"/>
      </top>
      <bottom/>
      <diagonal/>
    </border>
    <border>
      <left/>
      <right/>
      <top style="medium">
        <color theme="4" tint="0.39997558519241921"/>
      </top>
      <bottom/>
      <diagonal/>
    </border>
    <border>
      <left/>
      <right style="medium">
        <color theme="4" tint="0.39997558519241921"/>
      </right>
      <top style="medium">
        <color theme="4" tint="0.39997558519241921"/>
      </top>
      <bottom/>
      <diagonal/>
    </border>
    <border>
      <left style="medium">
        <color theme="4" tint="0.39997558519241921"/>
      </left>
      <right/>
      <top/>
      <bottom/>
      <diagonal/>
    </border>
    <border>
      <left/>
      <right style="medium">
        <color theme="4" tint="0.39997558519241921"/>
      </right>
      <top/>
      <bottom/>
      <diagonal/>
    </border>
    <border>
      <left style="medium">
        <color theme="4" tint="0.39997558519241921"/>
      </left>
      <right/>
      <top/>
      <bottom style="medium">
        <color theme="4" tint="0.39997558519241921"/>
      </bottom>
      <diagonal/>
    </border>
    <border>
      <left/>
      <right style="medium">
        <color theme="4" tint="0.39997558519241921"/>
      </right>
      <top/>
      <bottom style="medium">
        <color theme="4" tint="0.39997558519241921"/>
      </bottom>
      <diagonal/>
    </border>
  </borders>
  <cellStyleXfs count="1">
    <xf numFmtId="0" fontId="0" fillId="0" borderId="0"/>
  </cellStyleXfs>
  <cellXfs count="89">
    <xf numFmtId="0" fontId="0" fillId="0" borderId="0" xfId="0"/>
    <xf numFmtId="14" fontId="0" fillId="0" borderId="0" xfId="0" applyNumberFormat="1"/>
    <xf numFmtId="1" fontId="0" fillId="0" borderId="0" xfId="0" applyNumberFormat="1"/>
    <xf numFmtId="164" fontId="0" fillId="0" borderId="0" xfId="0" applyNumberFormat="1"/>
    <xf numFmtId="10"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1" fontId="0" fillId="0" borderId="1" xfId="0" applyNumberFormat="1" applyBorder="1" applyAlignment="1">
      <alignment horizontal="center"/>
    </xf>
    <xf numFmtId="164" fontId="0" fillId="0" borderId="1" xfId="0" applyNumberFormat="1" applyBorder="1" applyAlignment="1">
      <alignment horizontal="center"/>
    </xf>
    <xf numFmtId="10" fontId="0" fillId="0" borderId="1" xfId="0" applyNumberFormat="1" applyBorder="1" applyAlignment="1">
      <alignment horizontal="center"/>
    </xf>
    <xf numFmtId="0" fontId="0" fillId="0" borderId="2" xfId="0" applyBorder="1" applyAlignment="1">
      <alignment horizontal="center"/>
    </xf>
    <xf numFmtId="10" fontId="0" fillId="0" borderId="3" xfId="0" applyNumberFormat="1" applyBorder="1" applyAlignment="1">
      <alignment horizontal="center"/>
    </xf>
    <xf numFmtId="0" fontId="1" fillId="0" borderId="4" xfId="0" applyFont="1" applyBorder="1" applyAlignment="1">
      <alignment horizontal="center" vertical="top"/>
    </xf>
    <xf numFmtId="14" fontId="1" fillId="0" borderId="5" xfId="0" applyNumberFormat="1" applyFont="1" applyBorder="1" applyAlignment="1">
      <alignment horizontal="center" vertical="top"/>
    </xf>
    <xf numFmtId="0" fontId="1" fillId="0" borderId="5" xfId="0" applyFont="1" applyBorder="1" applyAlignment="1">
      <alignment horizontal="center" vertical="top"/>
    </xf>
    <xf numFmtId="1" fontId="1" fillId="0" borderId="5" xfId="0" applyNumberFormat="1" applyFont="1" applyBorder="1" applyAlignment="1">
      <alignment horizontal="center" vertical="top"/>
    </xf>
    <xf numFmtId="164" fontId="1" fillId="0" borderId="5" xfId="0" applyNumberFormat="1" applyFont="1" applyBorder="1" applyAlignment="1">
      <alignment horizontal="center" vertical="top"/>
    </xf>
    <xf numFmtId="10" fontId="1" fillId="0" borderId="5" xfId="0" applyNumberFormat="1" applyFont="1" applyBorder="1" applyAlignment="1">
      <alignment horizontal="center" vertical="top"/>
    </xf>
    <xf numFmtId="10" fontId="1" fillId="0" borderId="6" xfId="0" applyNumberFormat="1" applyFont="1" applyBorder="1" applyAlignment="1">
      <alignment horizontal="center" vertical="top"/>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164" fontId="0" fillId="0" borderId="8" xfId="0" applyNumberFormat="1" applyBorder="1" applyAlignment="1">
      <alignment horizontal="center"/>
    </xf>
    <xf numFmtId="10" fontId="0" fillId="0" borderId="8" xfId="0" applyNumberFormat="1" applyBorder="1" applyAlignment="1">
      <alignment horizontal="center"/>
    </xf>
    <xf numFmtId="10" fontId="0" fillId="0" borderId="9" xfId="0" applyNumberFormat="1" applyBorder="1" applyAlignment="1">
      <alignment horizontal="center"/>
    </xf>
    <xf numFmtId="0" fontId="3" fillId="0" borderId="5" xfId="0" applyFont="1" applyBorder="1" applyAlignment="1">
      <alignment horizontal="center" vertical="top"/>
    </xf>
    <xf numFmtId="0" fontId="0" fillId="0" borderId="0" xfId="0" applyAlignment="1">
      <alignment horizontal="center"/>
    </xf>
    <xf numFmtId="0" fontId="4" fillId="0" borderId="1" xfId="0" applyFont="1" applyBorder="1" applyAlignment="1">
      <alignment horizontal="center"/>
    </xf>
    <xf numFmtId="0" fontId="4" fillId="2" borderId="1" xfId="0" applyFont="1" applyFill="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 fillId="0" borderId="0" xfId="0" applyFont="1" applyAlignment="1">
      <alignment horizontal="center"/>
    </xf>
    <xf numFmtId="0" fontId="0" fillId="0" borderId="0" xfId="0" pivotButton="1"/>
    <xf numFmtId="0" fontId="5" fillId="0" borderId="0" xfId="0" applyFont="1"/>
    <xf numFmtId="0" fontId="0" fillId="3" borderId="0" xfId="0" applyFill="1"/>
    <xf numFmtId="1" fontId="11" fillId="0" borderId="15" xfId="0" applyNumberFormat="1"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5" xfId="0" applyFont="1" applyBorder="1" applyAlignment="1">
      <alignment horizontal="center" vertical="center"/>
    </xf>
    <xf numFmtId="0" fontId="11" fillId="0" borderId="17" xfId="0" applyFont="1" applyBorder="1" applyAlignment="1">
      <alignment horizontal="center" vertical="center"/>
    </xf>
    <xf numFmtId="0" fontId="11" fillId="0" borderId="11" xfId="0" applyFont="1" applyBorder="1" applyAlignment="1">
      <alignment horizontal="center" vertical="center"/>
    </xf>
    <xf numFmtId="0" fontId="11" fillId="0" borderId="18"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7" xfId="0"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10" fillId="3" borderId="0" xfId="0" applyFont="1" applyFill="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7" xfId="0" applyFont="1" applyBorder="1" applyAlignment="1">
      <alignment horizontal="center" vertical="center"/>
    </xf>
    <xf numFmtId="0" fontId="8" fillId="0" borderId="11" xfId="0" applyFont="1" applyBorder="1" applyAlignment="1">
      <alignment horizontal="center" vertical="center"/>
    </xf>
    <xf numFmtId="0" fontId="8" fillId="0" borderId="18"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10" fontId="11" fillId="0" borderId="15" xfId="0" applyNumberFormat="1" applyFont="1" applyBorder="1" applyAlignment="1">
      <alignment horizontal="center" vertical="center"/>
    </xf>
    <xf numFmtId="0" fontId="9" fillId="0" borderId="12" xfId="0" applyFont="1" applyBorder="1" applyAlignment="1">
      <alignment horizontal="center" vertical="center"/>
    </xf>
    <xf numFmtId="165" fontId="11" fillId="0" borderId="15" xfId="0" applyNumberFormat="1" applyFont="1" applyBorder="1" applyAlignment="1">
      <alignment horizontal="center" vertical="center"/>
    </xf>
    <xf numFmtId="165" fontId="11" fillId="0" borderId="0" xfId="0" applyNumberFormat="1" applyFont="1" applyAlignment="1">
      <alignment horizontal="center" vertical="center"/>
    </xf>
    <xf numFmtId="165" fontId="11" fillId="0" borderId="16" xfId="0" applyNumberFormat="1" applyFont="1" applyBorder="1" applyAlignment="1">
      <alignment horizontal="center" vertical="center"/>
    </xf>
    <xf numFmtId="165" fontId="11" fillId="0" borderId="17" xfId="0" applyNumberFormat="1" applyFont="1" applyBorder="1" applyAlignment="1">
      <alignment horizontal="center" vertical="center"/>
    </xf>
    <xf numFmtId="165" fontId="11" fillId="0" borderId="11" xfId="0" applyNumberFormat="1" applyFont="1" applyBorder="1" applyAlignment="1">
      <alignment horizontal="center" vertical="center"/>
    </xf>
    <xf numFmtId="165" fontId="11" fillId="0" borderId="18" xfId="0" applyNumberFormat="1"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1" fontId="11" fillId="0" borderId="0" xfId="0" applyNumberFormat="1" applyFont="1" applyAlignment="1">
      <alignment horizontal="center" vertical="center"/>
    </xf>
    <xf numFmtId="1" fontId="11" fillId="0" borderId="16" xfId="0" applyNumberFormat="1" applyFont="1" applyBorder="1" applyAlignment="1">
      <alignment horizontal="center" vertical="center"/>
    </xf>
    <xf numFmtId="1" fontId="11" fillId="0" borderId="17" xfId="0" applyNumberFormat="1" applyFont="1" applyBorder="1" applyAlignment="1">
      <alignment horizontal="center" vertical="center"/>
    </xf>
    <xf numFmtId="1" fontId="11" fillId="0" borderId="11" xfId="0" applyNumberFormat="1" applyFont="1" applyBorder="1" applyAlignment="1">
      <alignment horizontal="center" vertical="center"/>
    </xf>
    <xf numFmtId="1" fontId="11" fillId="0" borderId="18"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xf>
    <xf numFmtId="0" fontId="0" fillId="0" borderId="1" xfId="0" applyBorder="1" applyAlignment="1">
      <alignment horizontal="center"/>
    </xf>
    <xf numFmtId="0" fontId="6" fillId="0" borderId="1" xfId="0" applyFont="1" applyBorder="1" applyAlignment="1">
      <alignment horizontal="center"/>
    </xf>
    <xf numFmtId="0" fontId="0" fillId="0" borderId="3" xfId="0" applyBorder="1" applyAlignment="1">
      <alignment horizontal="center"/>
    </xf>
    <xf numFmtId="0" fontId="0" fillId="0" borderId="10" xfId="0" applyBorder="1" applyAlignment="1">
      <alignment horizontal="center"/>
    </xf>
    <xf numFmtId="0" fontId="0" fillId="0" borderId="2" xfId="0" applyBorder="1" applyAlignment="1">
      <alignment horizontal="center"/>
    </xf>
    <xf numFmtId="0" fontId="5" fillId="0" borderId="0" xfId="0" applyFont="1" applyAlignment="1">
      <alignment horizontal="center"/>
    </xf>
    <xf numFmtId="0" fontId="4" fillId="0" borderId="0" xfId="0" applyFont="1" applyAlignment="1">
      <alignment horizontal="center"/>
    </xf>
  </cellXfs>
  <cellStyles count="1">
    <cellStyle name="Normal" xfId="0" builtinId="0"/>
  </cellStyles>
  <dxfs count="32">
    <dxf>
      <font>
        <color rgb="FF9C0006"/>
      </font>
      <fill>
        <patternFill>
          <bgColor rgb="FFFFC7CE"/>
        </patternFill>
      </fill>
    </dxf>
    <dxf>
      <font>
        <color theme="4" tint="-0.499984740745262"/>
      </font>
      <fill>
        <patternFill>
          <bgColor theme="4" tint="0.3999450666829432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3"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4" formatCode="0.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numFmt numFmtId="164" formatCode="&quot;₹&quot;\ #,##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4"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quot;₹&quot;\ #,##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color theme="1"/>
      </font>
      <border>
        <bottom style="thin">
          <color theme="4"/>
        </bottom>
        <vertical/>
        <horizontal/>
      </border>
    </dxf>
    <dxf>
      <font>
        <b/>
        <i val="0"/>
        <sz val="1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6"/>
        <color theme="1"/>
      </font>
      <border>
        <left style="thin">
          <color theme="4"/>
        </left>
        <right style="thin">
          <color theme="4"/>
        </right>
        <top style="thin">
          <color theme="4"/>
        </top>
        <bottom style="thin">
          <color theme="4"/>
        </bottom>
        <vertical/>
        <horizontal/>
      </border>
    </dxf>
  </dxfs>
  <tableStyles count="3" defaultTableStyle="TableStyleMedium9" defaultPivotStyle="PivotStyleLight16">
    <tableStyle name="SlicerStyleLight1 2" pivot="0" table="0" count="10" xr9:uid="{99473246-691D-40FC-AB63-6B3742693407}">
      <tableStyleElement type="wholeTable" dxfId="31"/>
      <tableStyleElement type="headerRow" dxfId="30"/>
    </tableStyle>
    <tableStyle name="SlicerStyleLight1 2 2" pivot="0" table="0" count="10" xr9:uid="{D51BA302-2D07-4F78-9EDE-5B5F02C5580E}">
      <tableStyleElement type="wholeTable" dxfId="29"/>
      <tableStyleElement type="headerRow" dxfId="28"/>
    </tableStyle>
    <tableStyle name="SlicerStyleLight1 2 3" pivot="0" table="0" count="10" xr9:uid="{1006DBDD-9C3A-42E0-8E7E-A1A8F59E3607}">
      <tableStyleElement type="wholeTable" dxfId="27"/>
      <tableStyleElement type="headerRow" dxfId="26"/>
    </tableStyle>
  </tableStyles>
  <colors>
    <mruColors>
      <color rgb="FF33CC3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[Mukesh_Kote_NovaMart_SalesDashboard.xlsx]Pivot_table!Region Wise 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Resion</a:t>
            </a:r>
            <a:r>
              <a:rPr lang="en-US" sz="1100" baseline="0"/>
              <a:t> Wise Sales</a:t>
            </a:r>
            <a:endParaRPr lang="en-US" sz="1100"/>
          </a:p>
        </c:rich>
      </c:tx>
      <c:layout>
        <c:manualLayout>
          <c:xMode val="edge"/>
          <c:yMode val="edge"/>
          <c:x val="0.31806282722513091"/>
          <c:y val="4.23004287096582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Pivot_table!$A$2:$A$6</c:f>
              <c:strCache>
                <c:ptCount val="4"/>
                <c:pt idx="0">
                  <c:v>South</c:v>
                </c:pt>
                <c:pt idx="1">
                  <c:v>North</c:v>
                </c:pt>
                <c:pt idx="2">
                  <c:v>East</c:v>
                </c:pt>
                <c:pt idx="3">
                  <c:v>West</c:v>
                </c:pt>
              </c:strCache>
            </c:strRef>
          </c:cat>
          <c:val>
            <c:numRef>
              <c:f>Pivot_table!$B$2:$B$6</c:f>
              <c:numCache>
                <c:formatCode>"₹"\ #,##0.00</c:formatCode>
                <c:ptCount val="4"/>
                <c:pt idx="0">
                  <c:v>210435.96</c:v>
                </c:pt>
                <c:pt idx="1">
                  <c:v>207483.74</c:v>
                </c:pt>
                <c:pt idx="2">
                  <c:v>193876.81999999995</c:v>
                </c:pt>
                <c:pt idx="3">
                  <c:v>182504.74000000005</c:v>
                </c:pt>
              </c:numCache>
            </c:numRef>
          </c:val>
          <c:extLst>
            <c:ext xmlns:c16="http://schemas.microsoft.com/office/drawing/2014/chart" uri="{C3380CC4-5D6E-409C-BE32-E72D297353CC}">
              <c16:uniqueId val="{00000000-D5D9-4562-8D69-91A527AB217D}"/>
            </c:ext>
          </c:extLst>
        </c:ser>
        <c:dLbls>
          <c:dLblPos val="outEnd"/>
          <c:showLegendKey val="0"/>
          <c:showVal val="1"/>
          <c:showCatName val="0"/>
          <c:showSerName val="0"/>
          <c:showPercent val="0"/>
          <c:showBubbleSize val="0"/>
        </c:dLbls>
        <c:gapWidth val="219"/>
        <c:overlap val="-27"/>
        <c:axId val="608425344"/>
        <c:axId val="792937824"/>
      </c:barChart>
      <c:catAx>
        <c:axId val="6084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37824"/>
        <c:crosses val="autoZero"/>
        <c:auto val="1"/>
        <c:lblAlgn val="ctr"/>
        <c:lblOffset val="100"/>
        <c:noMultiLvlLbl val="0"/>
      </c:catAx>
      <c:valAx>
        <c:axId val="792937824"/>
        <c:scaling>
          <c:orientation val="minMax"/>
        </c:scaling>
        <c:delete val="1"/>
        <c:axPos val="l"/>
        <c:numFmt formatCode="&quot;₹&quot;\ #,##0.00" sourceLinked="1"/>
        <c:majorTickMark val="none"/>
        <c:minorTickMark val="none"/>
        <c:tickLblPos val="nextTo"/>
        <c:crossAx val="60842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[Mukesh_Kote_NovaMart_SalesDashboard.xlsx]Pivot_table!Product Wise sum Quantity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Product</a:t>
            </a:r>
            <a:r>
              <a:rPr lang="en-US" sz="1100" baseline="0"/>
              <a:t> Wise Quantity</a:t>
            </a:r>
            <a:endParaRPr lang="en-US" sz="1100"/>
          </a:p>
        </c:rich>
      </c:tx>
      <c:layout>
        <c:manualLayout>
          <c:xMode val="edge"/>
          <c:yMode val="edge"/>
          <c:x val="0.32090936232749451"/>
          <c:y val="3.9150628310508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Pivot_table!$A$23:$A$31</c:f>
              <c:strCache>
                <c:ptCount val="8"/>
                <c:pt idx="0">
                  <c:v>Notebook</c:v>
                </c:pt>
                <c:pt idx="1">
                  <c:v>Laptop</c:v>
                </c:pt>
                <c:pt idx="2">
                  <c:v>Desk</c:v>
                </c:pt>
                <c:pt idx="3">
                  <c:v>Table</c:v>
                </c:pt>
                <c:pt idx="4">
                  <c:v>Monitor</c:v>
                </c:pt>
                <c:pt idx="5">
                  <c:v>Chair</c:v>
                </c:pt>
                <c:pt idx="6">
                  <c:v>Phone</c:v>
                </c:pt>
                <c:pt idx="7">
                  <c:v>Printer</c:v>
                </c:pt>
              </c:strCache>
            </c:strRef>
          </c:cat>
          <c:val>
            <c:numRef>
              <c:f>Pivot_table!$B$23:$B$31</c:f>
              <c:numCache>
                <c:formatCode>0</c:formatCode>
                <c:ptCount val="8"/>
                <c:pt idx="0">
                  <c:v>285</c:v>
                </c:pt>
                <c:pt idx="1">
                  <c:v>236</c:v>
                </c:pt>
                <c:pt idx="2">
                  <c:v>206</c:v>
                </c:pt>
                <c:pt idx="3">
                  <c:v>204</c:v>
                </c:pt>
                <c:pt idx="4">
                  <c:v>202</c:v>
                </c:pt>
                <c:pt idx="5">
                  <c:v>201</c:v>
                </c:pt>
                <c:pt idx="6">
                  <c:v>185</c:v>
                </c:pt>
                <c:pt idx="7">
                  <c:v>130</c:v>
                </c:pt>
              </c:numCache>
            </c:numRef>
          </c:val>
          <c:smooth val="0"/>
          <c:extLst>
            <c:ext xmlns:c16="http://schemas.microsoft.com/office/drawing/2014/chart" uri="{C3380CC4-5D6E-409C-BE32-E72D297353CC}">
              <c16:uniqueId val="{00000000-6FCA-44CA-BECC-74A019B0DF34}"/>
            </c:ext>
          </c:extLst>
        </c:ser>
        <c:dLbls>
          <c:dLblPos val="t"/>
          <c:showLegendKey val="0"/>
          <c:showVal val="1"/>
          <c:showCatName val="0"/>
          <c:showSerName val="0"/>
          <c:showPercent val="0"/>
          <c:showBubbleSize val="0"/>
        </c:dLbls>
        <c:marker val="1"/>
        <c:smooth val="0"/>
        <c:axId val="789637136"/>
        <c:axId val="789640496"/>
      </c:lineChart>
      <c:catAx>
        <c:axId val="78963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640496"/>
        <c:crosses val="autoZero"/>
        <c:auto val="1"/>
        <c:lblAlgn val="ctr"/>
        <c:lblOffset val="100"/>
        <c:noMultiLvlLbl val="0"/>
      </c:catAx>
      <c:valAx>
        <c:axId val="7896404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8963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[Mukesh_Kote_NovaMart_SalesDashboard.xlsx]Pivot_table!Customer Wise Sum profit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a:t>
            </a:r>
            <a:r>
              <a:rPr lang="en-US" baseline="0"/>
              <a:t> Wise Profit</a:t>
            </a:r>
            <a:endParaRPr lang="en-US"/>
          </a:p>
        </c:rich>
      </c:tx>
      <c:layout>
        <c:manualLayout>
          <c:xMode val="edge"/>
          <c:yMode val="edge"/>
          <c:x val="0.29396926707486765"/>
          <c:y val="2.72923392160458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21093904728998"/>
          <c:y val="0.17882830893890558"/>
          <c:w val="0.74198079803104355"/>
          <c:h val="0.67950503678871066"/>
        </c:manualLayout>
      </c:layout>
      <c:barChart>
        <c:barDir val="bar"/>
        <c:grouping val="clustered"/>
        <c:varyColors val="0"/>
        <c:ser>
          <c:idx val="0"/>
          <c:order val="0"/>
          <c:tx>
            <c:strRef>
              <c:f>Pivot_table!$B$37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Pivot_table!$A$38:$A$48</c:f>
              <c:strCache>
                <c:ptCount val="10"/>
                <c:pt idx="0">
                  <c:v>Aditya Kumar</c:v>
                </c:pt>
                <c:pt idx="1">
                  <c:v>Nisha Roy</c:v>
                </c:pt>
                <c:pt idx="2">
                  <c:v>Mohit Agarwal</c:v>
                </c:pt>
                <c:pt idx="3">
                  <c:v>Kavya Mehta</c:v>
                </c:pt>
                <c:pt idx="4">
                  <c:v>Diya Sharma</c:v>
                </c:pt>
                <c:pt idx="5">
                  <c:v>Rohan Desai</c:v>
                </c:pt>
                <c:pt idx="6">
                  <c:v>Arjun Singh</c:v>
                </c:pt>
                <c:pt idx="7">
                  <c:v>Vivaan Shah</c:v>
                </c:pt>
                <c:pt idx="8">
                  <c:v>Priya Patel</c:v>
                </c:pt>
                <c:pt idx="9">
                  <c:v>Sanjay Patel</c:v>
                </c:pt>
              </c:strCache>
            </c:strRef>
          </c:cat>
          <c:val>
            <c:numRef>
              <c:f>Pivot_table!$B$38:$B$48</c:f>
              <c:numCache>
                <c:formatCode>"₹"\ #,##0.00</c:formatCode>
                <c:ptCount val="10"/>
                <c:pt idx="0">
                  <c:v>12480.530000000004</c:v>
                </c:pt>
                <c:pt idx="1">
                  <c:v>10333.350000000002</c:v>
                </c:pt>
                <c:pt idx="2">
                  <c:v>10256.91</c:v>
                </c:pt>
                <c:pt idx="3">
                  <c:v>9387.5299999999988</c:v>
                </c:pt>
                <c:pt idx="4">
                  <c:v>9140.2000000000007</c:v>
                </c:pt>
                <c:pt idx="5">
                  <c:v>8560.5300000000007</c:v>
                </c:pt>
                <c:pt idx="6">
                  <c:v>7888.08</c:v>
                </c:pt>
                <c:pt idx="7">
                  <c:v>7204.9300000000012</c:v>
                </c:pt>
                <c:pt idx="8">
                  <c:v>6857.78</c:v>
                </c:pt>
                <c:pt idx="9">
                  <c:v>6472.7100000000009</c:v>
                </c:pt>
              </c:numCache>
            </c:numRef>
          </c:val>
          <c:extLst>
            <c:ext xmlns:c16="http://schemas.microsoft.com/office/drawing/2014/chart" uri="{C3380CC4-5D6E-409C-BE32-E72D297353CC}">
              <c16:uniqueId val="{00000000-EB6F-4049-B6D8-30A4B728F1AA}"/>
            </c:ext>
          </c:extLst>
        </c:ser>
        <c:dLbls>
          <c:dLblPos val="outEnd"/>
          <c:showLegendKey val="0"/>
          <c:showVal val="1"/>
          <c:showCatName val="0"/>
          <c:showSerName val="0"/>
          <c:showPercent val="0"/>
          <c:showBubbleSize val="0"/>
        </c:dLbls>
        <c:gapWidth val="182"/>
        <c:axId val="297380032"/>
        <c:axId val="297378592"/>
      </c:barChart>
      <c:catAx>
        <c:axId val="297380032"/>
        <c:scaling>
          <c:orientation val="minMax"/>
        </c:scaling>
        <c:delete val="1"/>
        <c:axPos val="l"/>
        <c:numFmt formatCode="General" sourceLinked="1"/>
        <c:majorTickMark val="none"/>
        <c:minorTickMark val="none"/>
        <c:tickLblPos val="nextTo"/>
        <c:crossAx val="297378592"/>
        <c:crosses val="autoZero"/>
        <c:auto val="1"/>
        <c:lblAlgn val="ctr"/>
        <c:lblOffset val="100"/>
        <c:noMultiLvlLbl val="0"/>
      </c:catAx>
      <c:valAx>
        <c:axId val="29737859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2973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[Mukesh_Kote_NovaMart_SalesDashboard.xlsx]Pivot_table!Category Wise Sum</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Category</a:t>
            </a:r>
            <a:r>
              <a:rPr lang="en-US" sz="1100" baseline="0"/>
              <a:t> Wise Sales</a:t>
            </a:r>
            <a:endParaRPr lang="en-US" sz="1100"/>
          </a:p>
        </c:rich>
      </c:tx>
      <c:layout>
        <c:manualLayout>
          <c:xMode val="edge"/>
          <c:yMode val="edge"/>
          <c:x val="0.30143428568725728"/>
          <c:y val="5.1243679192452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Pivot_table!$B$13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8B6-4FC6-94DD-3BA6A642597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8B6-4FC6-94DD-3BA6A642597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8B6-4FC6-94DD-3BA6A64259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Pivot_table!$A$14:$A$17</c:f>
              <c:strCache>
                <c:ptCount val="3"/>
                <c:pt idx="0">
                  <c:v>Technology</c:v>
                </c:pt>
                <c:pt idx="1">
                  <c:v>Furniture</c:v>
                </c:pt>
                <c:pt idx="2">
                  <c:v>Office Supplies</c:v>
                </c:pt>
              </c:strCache>
            </c:strRef>
          </c:cat>
          <c:val>
            <c:numRef>
              <c:f>Pivot_table!$B$14:$B$17</c:f>
              <c:numCache>
                <c:formatCode>"₹"\ #,##0.00</c:formatCode>
                <c:ptCount val="3"/>
                <c:pt idx="0">
                  <c:v>276539.28999999998</c:v>
                </c:pt>
                <c:pt idx="1">
                  <c:v>267131.33999999997</c:v>
                </c:pt>
                <c:pt idx="2">
                  <c:v>250630.63</c:v>
                </c:pt>
              </c:numCache>
            </c:numRef>
          </c:val>
          <c:extLst>
            <c:ext xmlns:c16="http://schemas.microsoft.com/office/drawing/2014/chart" uri="{C3380CC4-5D6E-409C-BE32-E72D297353CC}">
              <c16:uniqueId val="{00000000-BD63-4E94-8FF6-4A4517C3C0E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[Mukesh_Kote_NovaMart_SalesDashboard.xlsx]Pivot_table!Region Wise Sales</c:name>
    <c:fmtId val="4"/>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Resion Wise Sales</a:t>
            </a:r>
          </a:p>
        </c:rich>
      </c:tx>
      <c:layout>
        <c:manualLayout>
          <c:xMode val="edge"/>
          <c:yMode val="edge"/>
          <c:x val="0.36335268125175724"/>
          <c:y val="2.3823824905652848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Pivot_table!$A$2:$A$6</c:f>
              <c:strCache>
                <c:ptCount val="4"/>
                <c:pt idx="0">
                  <c:v>South</c:v>
                </c:pt>
                <c:pt idx="1">
                  <c:v>North</c:v>
                </c:pt>
                <c:pt idx="2">
                  <c:v>East</c:v>
                </c:pt>
                <c:pt idx="3">
                  <c:v>West</c:v>
                </c:pt>
              </c:strCache>
            </c:strRef>
          </c:cat>
          <c:val>
            <c:numRef>
              <c:f>Pivot_table!$B$2:$B$6</c:f>
              <c:numCache>
                <c:formatCode>"₹"\ #,##0.00</c:formatCode>
                <c:ptCount val="4"/>
                <c:pt idx="0">
                  <c:v>210435.96</c:v>
                </c:pt>
                <c:pt idx="1">
                  <c:v>207483.74</c:v>
                </c:pt>
                <c:pt idx="2">
                  <c:v>193876.81999999995</c:v>
                </c:pt>
                <c:pt idx="3">
                  <c:v>182504.74000000005</c:v>
                </c:pt>
              </c:numCache>
            </c:numRef>
          </c:val>
          <c:extLst>
            <c:ext xmlns:c16="http://schemas.microsoft.com/office/drawing/2014/chart" uri="{C3380CC4-5D6E-409C-BE32-E72D297353CC}">
              <c16:uniqueId val="{00000000-5789-49B5-8272-5E252A488340}"/>
            </c:ext>
          </c:extLst>
        </c:ser>
        <c:dLbls>
          <c:dLblPos val="outEnd"/>
          <c:showLegendKey val="0"/>
          <c:showVal val="1"/>
          <c:showCatName val="0"/>
          <c:showSerName val="0"/>
          <c:showPercent val="0"/>
          <c:showBubbleSize val="0"/>
        </c:dLbls>
        <c:gapWidth val="219"/>
        <c:overlap val="-27"/>
        <c:axId val="608425344"/>
        <c:axId val="792937824"/>
      </c:barChart>
      <c:catAx>
        <c:axId val="6084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92937824"/>
        <c:crosses val="autoZero"/>
        <c:auto val="1"/>
        <c:lblAlgn val="ctr"/>
        <c:lblOffset val="100"/>
        <c:noMultiLvlLbl val="0"/>
      </c:catAx>
      <c:valAx>
        <c:axId val="792937824"/>
        <c:scaling>
          <c:orientation val="minMax"/>
        </c:scaling>
        <c:delete val="1"/>
        <c:axPos val="l"/>
        <c:numFmt formatCode="&quot;₹&quot;\ #,##0.00" sourceLinked="1"/>
        <c:majorTickMark val="none"/>
        <c:minorTickMark val="none"/>
        <c:tickLblPos val="nextTo"/>
        <c:crossAx val="60842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[Mukesh_Kote_NovaMart_SalesDashboard.xlsx]Pivot_table!Category Wise Sum</c:name>
    <c:fmtId val="11"/>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Category Wise Sales</a:t>
            </a:r>
          </a:p>
        </c:rich>
      </c:tx>
      <c:layout>
        <c:manualLayout>
          <c:xMode val="edge"/>
          <c:yMode val="edge"/>
          <c:x val="0.34860906057191965"/>
          <c:y val="3.2767014757398176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s>
    <c:plotArea>
      <c:layout>
        <c:manualLayout>
          <c:layoutTarget val="inner"/>
          <c:xMode val="edge"/>
          <c:yMode val="edge"/>
          <c:x val="0.25816921003372517"/>
          <c:y val="0.17750756782989036"/>
          <c:w val="0.49454805005033209"/>
          <c:h val="0.71944441269171577"/>
        </c:manualLayout>
      </c:layout>
      <c:pieChart>
        <c:varyColors val="1"/>
        <c:ser>
          <c:idx val="0"/>
          <c:order val="0"/>
          <c:tx>
            <c:strRef>
              <c:f>Pivot_table!$B$13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529-448F-BF18-EE7E51B8100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529-448F-BF18-EE7E51B8100C}"/>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529-448F-BF18-EE7E51B8100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Pivot_table!$A$14:$A$17</c:f>
              <c:strCache>
                <c:ptCount val="3"/>
                <c:pt idx="0">
                  <c:v>Technology</c:v>
                </c:pt>
                <c:pt idx="1">
                  <c:v>Furniture</c:v>
                </c:pt>
                <c:pt idx="2">
                  <c:v>Office Supplies</c:v>
                </c:pt>
              </c:strCache>
            </c:strRef>
          </c:cat>
          <c:val>
            <c:numRef>
              <c:f>Pivot_table!$B$14:$B$17</c:f>
              <c:numCache>
                <c:formatCode>"₹"\ #,##0.00</c:formatCode>
                <c:ptCount val="3"/>
                <c:pt idx="0">
                  <c:v>276539.28999999998</c:v>
                </c:pt>
                <c:pt idx="1">
                  <c:v>267131.33999999997</c:v>
                </c:pt>
                <c:pt idx="2">
                  <c:v>250630.63</c:v>
                </c:pt>
              </c:numCache>
            </c:numRef>
          </c:val>
          <c:extLst>
            <c:ext xmlns:c16="http://schemas.microsoft.com/office/drawing/2014/chart" uri="{C3380CC4-5D6E-409C-BE32-E72D297353CC}">
              <c16:uniqueId val="{00000006-C529-448F-BF18-EE7E51B8100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[Mukesh_Kote_NovaMart_SalesDashboard.xlsx]Pivot_table!Customer Wise Sum profit</c:name>
    <c:fmtId val="16"/>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Top 10 Customer Wise Profit</a:t>
            </a:r>
          </a:p>
        </c:rich>
      </c:tx>
      <c:layout>
        <c:manualLayout>
          <c:xMode val="edge"/>
          <c:yMode val="edge"/>
          <c:x val="0.29396926707486765"/>
          <c:y val="2.7292339216045871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21093904728998"/>
          <c:y val="0.17882830893890558"/>
          <c:w val="0.74198079803104355"/>
          <c:h val="0.67950503678871066"/>
        </c:manualLayout>
      </c:layout>
      <c:barChart>
        <c:barDir val="bar"/>
        <c:grouping val="clustered"/>
        <c:varyColors val="0"/>
        <c:ser>
          <c:idx val="0"/>
          <c:order val="0"/>
          <c:tx>
            <c:strRef>
              <c:f>Pivot_table!$B$37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Pivot_table!$A$38:$A$48</c:f>
              <c:strCache>
                <c:ptCount val="10"/>
                <c:pt idx="0">
                  <c:v>Aditya Kumar</c:v>
                </c:pt>
                <c:pt idx="1">
                  <c:v>Nisha Roy</c:v>
                </c:pt>
                <c:pt idx="2">
                  <c:v>Mohit Agarwal</c:v>
                </c:pt>
                <c:pt idx="3">
                  <c:v>Kavya Mehta</c:v>
                </c:pt>
                <c:pt idx="4">
                  <c:v>Diya Sharma</c:v>
                </c:pt>
                <c:pt idx="5">
                  <c:v>Rohan Desai</c:v>
                </c:pt>
                <c:pt idx="6">
                  <c:v>Arjun Singh</c:v>
                </c:pt>
                <c:pt idx="7">
                  <c:v>Vivaan Shah</c:v>
                </c:pt>
                <c:pt idx="8">
                  <c:v>Priya Patel</c:v>
                </c:pt>
                <c:pt idx="9">
                  <c:v>Sanjay Patel</c:v>
                </c:pt>
              </c:strCache>
            </c:strRef>
          </c:cat>
          <c:val>
            <c:numRef>
              <c:f>Pivot_table!$B$38:$B$48</c:f>
              <c:numCache>
                <c:formatCode>"₹"\ #,##0.00</c:formatCode>
                <c:ptCount val="10"/>
                <c:pt idx="0">
                  <c:v>12480.530000000004</c:v>
                </c:pt>
                <c:pt idx="1">
                  <c:v>10333.350000000002</c:v>
                </c:pt>
                <c:pt idx="2">
                  <c:v>10256.91</c:v>
                </c:pt>
                <c:pt idx="3">
                  <c:v>9387.5299999999988</c:v>
                </c:pt>
                <c:pt idx="4">
                  <c:v>9140.2000000000007</c:v>
                </c:pt>
                <c:pt idx="5">
                  <c:v>8560.5300000000007</c:v>
                </c:pt>
                <c:pt idx="6">
                  <c:v>7888.08</c:v>
                </c:pt>
                <c:pt idx="7">
                  <c:v>7204.9300000000012</c:v>
                </c:pt>
                <c:pt idx="8">
                  <c:v>6857.78</c:v>
                </c:pt>
                <c:pt idx="9">
                  <c:v>6472.7100000000009</c:v>
                </c:pt>
              </c:numCache>
            </c:numRef>
          </c:val>
          <c:extLst>
            <c:ext xmlns:c16="http://schemas.microsoft.com/office/drawing/2014/chart" uri="{C3380CC4-5D6E-409C-BE32-E72D297353CC}">
              <c16:uniqueId val="{00000000-F8F5-49BA-B275-6FBCD0B18AA0}"/>
            </c:ext>
          </c:extLst>
        </c:ser>
        <c:dLbls>
          <c:dLblPos val="outEnd"/>
          <c:showLegendKey val="0"/>
          <c:showVal val="1"/>
          <c:showCatName val="0"/>
          <c:showSerName val="0"/>
          <c:showPercent val="0"/>
          <c:showBubbleSize val="0"/>
        </c:dLbls>
        <c:gapWidth val="182"/>
        <c:axId val="297380032"/>
        <c:axId val="297378592"/>
      </c:barChart>
      <c:catAx>
        <c:axId val="297380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97378592"/>
        <c:crosses val="autoZero"/>
        <c:auto val="1"/>
        <c:lblAlgn val="ctr"/>
        <c:lblOffset val="100"/>
        <c:noMultiLvlLbl val="0"/>
      </c:catAx>
      <c:valAx>
        <c:axId val="29737859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crossAx val="2973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[Mukesh_Kote_NovaMart_SalesDashboard.xlsx]Pivot_table!Product Wise sum Quantity</c:name>
    <c:fmtId val="13"/>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Product Wise Quantity</a:t>
            </a:r>
          </a:p>
        </c:rich>
      </c:tx>
      <c:layout>
        <c:manualLayout>
          <c:xMode val="edge"/>
          <c:yMode val="edge"/>
          <c:x val="0.32090936232749451"/>
          <c:y val="3.9150628310508008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Pivot_table!$A$23:$A$31</c:f>
              <c:strCache>
                <c:ptCount val="8"/>
                <c:pt idx="0">
                  <c:v>Notebook</c:v>
                </c:pt>
                <c:pt idx="1">
                  <c:v>Laptop</c:v>
                </c:pt>
                <c:pt idx="2">
                  <c:v>Desk</c:v>
                </c:pt>
                <c:pt idx="3">
                  <c:v>Table</c:v>
                </c:pt>
                <c:pt idx="4">
                  <c:v>Monitor</c:v>
                </c:pt>
                <c:pt idx="5">
                  <c:v>Chair</c:v>
                </c:pt>
                <c:pt idx="6">
                  <c:v>Phone</c:v>
                </c:pt>
                <c:pt idx="7">
                  <c:v>Printer</c:v>
                </c:pt>
              </c:strCache>
            </c:strRef>
          </c:cat>
          <c:val>
            <c:numRef>
              <c:f>Pivot_table!$B$23:$B$31</c:f>
              <c:numCache>
                <c:formatCode>0</c:formatCode>
                <c:ptCount val="8"/>
                <c:pt idx="0">
                  <c:v>285</c:v>
                </c:pt>
                <c:pt idx="1">
                  <c:v>236</c:v>
                </c:pt>
                <c:pt idx="2">
                  <c:v>206</c:v>
                </c:pt>
                <c:pt idx="3">
                  <c:v>204</c:v>
                </c:pt>
                <c:pt idx="4">
                  <c:v>202</c:v>
                </c:pt>
                <c:pt idx="5">
                  <c:v>201</c:v>
                </c:pt>
                <c:pt idx="6">
                  <c:v>185</c:v>
                </c:pt>
                <c:pt idx="7">
                  <c:v>130</c:v>
                </c:pt>
              </c:numCache>
            </c:numRef>
          </c:val>
          <c:smooth val="0"/>
          <c:extLst>
            <c:ext xmlns:c16="http://schemas.microsoft.com/office/drawing/2014/chart" uri="{C3380CC4-5D6E-409C-BE32-E72D297353CC}">
              <c16:uniqueId val="{00000000-C631-4C4C-BE30-BABE86E9D93C}"/>
            </c:ext>
          </c:extLst>
        </c:ser>
        <c:dLbls>
          <c:dLblPos val="t"/>
          <c:showLegendKey val="0"/>
          <c:showVal val="1"/>
          <c:showCatName val="0"/>
          <c:showSerName val="0"/>
          <c:showPercent val="0"/>
          <c:showBubbleSize val="0"/>
        </c:dLbls>
        <c:marker val="1"/>
        <c:smooth val="0"/>
        <c:axId val="789637136"/>
        <c:axId val="789640496"/>
      </c:lineChart>
      <c:catAx>
        <c:axId val="78963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89640496"/>
        <c:crosses val="autoZero"/>
        <c:auto val="1"/>
        <c:lblAlgn val="ctr"/>
        <c:lblOffset val="100"/>
        <c:noMultiLvlLbl val="0"/>
      </c:catAx>
      <c:valAx>
        <c:axId val="7896404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8963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Dashboard!A1"/><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hyperlink" Target="#Instructions!A1"/><Relationship Id="rId3" Type="http://schemas.openxmlformats.org/officeDocument/2006/relationships/chart" Target="../charts/chart7.xml"/><Relationship Id="rId7" Type="http://schemas.openxmlformats.org/officeDocument/2006/relationships/hyperlink" Target="#Pivot_table!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Formula_sheet!A1"/><Relationship Id="rId5" Type="http://schemas.openxmlformats.org/officeDocument/2006/relationships/hyperlink" Target="#Sales_Data!A1"/><Relationship Id="rId4" Type="http://schemas.openxmlformats.org/officeDocument/2006/relationships/chart" Target="../charts/chart8.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173524</xdr:colOff>
      <xdr:row>1</xdr:row>
      <xdr:rowOff>75446</xdr:rowOff>
    </xdr:from>
    <xdr:to>
      <xdr:col>16</xdr:col>
      <xdr:colOff>128258</xdr:colOff>
      <xdr:row>3</xdr:row>
      <xdr:rowOff>98079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0171C5-DE55-3D62-8CBD-253F8A002BE0}"/>
            </a:ext>
          </a:extLst>
        </xdr:cNvPr>
        <xdr:cNvSpPr/>
      </xdr:nvSpPr>
      <xdr:spPr>
        <a:xfrm>
          <a:off x="14047960" y="256515"/>
          <a:ext cx="2399169" cy="384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439616</xdr:colOff>
      <xdr:row>9</xdr:row>
      <xdr:rowOff>166077</xdr:rowOff>
    </xdr:from>
    <xdr:to>
      <xdr:col>10</xdr:col>
      <xdr:colOff>1197554</xdr:colOff>
      <xdr:row>11</xdr:row>
      <xdr:rowOff>179618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1BE1457-CED3-4BF3-9553-DE657EE4F9B2}"/>
            </a:ext>
          </a:extLst>
        </xdr:cNvPr>
        <xdr:cNvSpPr/>
      </xdr:nvSpPr>
      <xdr:spPr>
        <a:xfrm>
          <a:off x="13061462" y="1865923"/>
          <a:ext cx="2399169" cy="384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145676</xdr:colOff>
      <xdr:row>0</xdr:row>
      <xdr:rowOff>53564</xdr:rowOff>
    </xdr:from>
    <xdr:to>
      <xdr:col>8</xdr:col>
      <xdr:colOff>8516</xdr:colOff>
      <xdr:row>9</xdr:row>
      <xdr:rowOff>148814</xdr:rowOff>
    </xdr:to>
    <xdr:graphicFrame macro="">
      <xdr:nvGraphicFramePr>
        <xdr:cNvPr id="2" name="Chart 1">
          <a:extLst>
            <a:ext uri="{FF2B5EF4-FFF2-40B4-BE49-F238E27FC236}">
              <a16:creationId xmlns:a16="http://schemas.microsoft.com/office/drawing/2014/main" id="{EFBB6A28-3BC0-6810-2F0E-3EFCED3F8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362174</xdr:colOff>
      <xdr:row>23</xdr:row>
      <xdr:rowOff>74706</xdr:rowOff>
    </xdr:from>
    <xdr:to>
      <xdr:col>9</xdr:col>
      <xdr:colOff>149412</xdr:colOff>
      <xdr:row>35</xdr:row>
      <xdr:rowOff>134471</xdr:rowOff>
    </xdr:to>
    <xdr:graphicFrame macro="">
      <xdr:nvGraphicFramePr>
        <xdr:cNvPr id="7" name="Chart 6">
          <a:extLst>
            <a:ext uri="{FF2B5EF4-FFF2-40B4-BE49-F238E27FC236}">
              <a16:creationId xmlns:a16="http://schemas.microsoft.com/office/drawing/2014/main" id="{BE6428AF-D5CD-C71A-4AE4-AF848AA5C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74556</xdr:colOff>
      <xdr:row>37</xdr:row>
      <xdr:rowOff>133350</xdr:rowOff>
    </xdr:from>
    <xdr:to>
      <xdr:col>13</xdr:col>
      <xdr:colOff>324971</xdr:colOff>
      <xdr:row>52</xdr:row>
      <xdr:rowOff>133350</xdr:rowOff>
    </xdr:to>
    <xdr:graphicFrame macro="">
      <xdr:nvGraphicFramePr>
        <xdr:cNvPr id="8" name="Chart 7">
          <a:extLst>
            <a:ext uri="{FF2B5EF4-FFF2-40B4-BE49-F238E27FC236}">
              <a16:creationId xmlns:a16="http://schemas.microsoft.com/office/drawing/2014/main" id="{D977EFAD-8C02-2399-E5BB-908AC2FFB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10</xdr:row>
      <xdr:rowOff>107576</xdr:rowOff>
    </xdr:from>
    <xdr:to>
      <xdr:col>10</xdr:col>
      <xdr:colOff>313765</xdr:colOff>
      <xdr:row>19</xdr:row>
      <xdr:rowOff>156882</xdr:rowOff>
    </xdr:to>
    <xdr:graphicFrame macro="">
      <xdr:nvGraphicFramePr>
        <xdr:cNvPr id="9" name="Chart 8">
          <a:extLst>
            <a:ext uri="{FF2B5EF4-FFF2-40B4-BE49-F238E27FC236}">
              <a16:creationId xmlns:a16="http://schemas.microsoft.com/office/drawing/2014/main" id="{B795EB4F-579D-4113-BBF3-B9D64164B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571499</xdr:colOff>
      <xdr:row>12</xdr:row>
      <xdr:rowOff>55553</xdr:rowOff>
    </xdr:from>
    <xdr:to>
      <xdr:col>14</xdr:col>
      <xdr:colOff>556751</xdr:colOff>
      <xdr:row>25</xdr:row>
      <xdr:rowOff>125915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91D10D4-1C9B-42E5-C856-D4916209B2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25564" y="226781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6882</xdr:colOff>
      <xdr:row>12</xdr:row>
      <xdr:rowOff>130032</xdr:rowOff>
    </xdr:from>
    <xdr:to>
      <xdr:col>18</xdr:col>
      <xdr:colOff>606650</xdr:colOff>
      <xdr:row>26</xdr:row>
      <xdr:rowOff>16039</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DC1F8E8B-BF48-0722-8B55-5EC1CF6ACF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33527" y="234229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233025</xdr:colOff>
      <xdr:row>28</xdr:row>
      <xdr:rowOff>108401</xdr:rowOff>
    </xdr:from>
    <xdr:to>
      <xdr:col>18</xdr:col>
      <xdr:colOff>417872</xdr:colOff>
      <xdr:row>36</xdr:row>
      <xdr:rowOff>5162</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31D70395-5649-BFCF-1606-2B3A37FB1E6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787090" y="5270336"/>
              <a:ext cx="448645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0</xdr:colOff>
      <xdr:row>1</xdr:row>
      <xdr:rowOff>0</xdr:rowOff>
    </xdr:from>
    <xdr:to>
      <xdr:col>18</xdr:col>
      <xdr:colOff>12290</xdr:colOff>
      <xdr:row>3</xdr:row>
      <xdr:rowOff>98322</xdr:rowOff>
    </xdr:to>
    <xdr:sp macro="" textlink="">
      <xdr:nvSpPr>
        <xdr:cNvPr id="3" name="Rectangle: Rounded Corners 2">
          <a:hlinkClick xmlns:r="http://schemas.openxmlformats.org/officeDocument/2006/relationships" r:id="rId5"/>
          <a:extLst>
            <a:ext uri="{FF2B5EF4-FFF2-40B4-BE49-F238E27FC236}">
              <a16:creationId xmlns:a16="http://schemas.microsoft.com/office/drawing/2014/main" id="{EC186588-B55B-482E-BE07-B4E71D1772DC}"/>
            </a:ext>
          </a:extLst>
        </xdr:cNvPr>
        <xdr:cNvSpPr/>
      </xdr:nvSpPr>
      <xdr:spPr>
        <a:xfrm>
          <a:off x="9119419" y="184355"/>
          <a:ext cx="3084871" cy="4670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5</xdr:row>
      <xdr:rowOff>0</xdr:rowOff>
    </xdr:from>
    <xdr:to>
      <xdr:col>10</xdr:col>
      <xdr:colOff>570369</xdr:colOff>
      <xdr:row>7</xdr:row>
      <xdr:rowOff>19012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82CD6A2-D2F2-466B-B478-7FC32D3A3BA5}"/>
            </a:ext>
          </a:extLst>
        </xdr:cNvPr>
        <xdr:cNvSpPr/>
      </xdr:nvSpPr>
      <xdr:spPr>
        <a:xfrm>
          <a:off x="5905500" y="1059180"/>
          <a:ext cx="2399169" cy="384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609599</xdr:colOff>
      <xdr:row>15</xdr:row>
      <xdr:rowOff>-1</xdr:rowOff>
    </xdr:from>
    <xdr:to>
      <xdr:col>14</xdr:col>
      <xdr:colOff>304800</xdr:colOff>
      <xdr:row>41</xdr:row>
      <xdr:rowOff>0</xdr:rowOff>
    </xdr:to>
    <xdr:graphicFrame macro="">
      <xdr:nvGraphicFramePr>
        <xdr:cNvPr id="2" name="Chart 1">
          <a:extLst>
            <a:ext uri="{FF2B5EF4-FFF2-40B4-BE49-F238E27FC236}">
              <a16:creationId xmlns:a16="http://schemas.microsoft.com/office/drawing/2014/main" id="{F2A188C5-4E91-461C-8674-507F0C78F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326572</xdr:colOff>
      <xdr:row>15</xdr:row>
      <xdr:rowOff>-1</xdr:rowOff>
    </xdr:from>
    <xdr:to>
      <xdr:col>27</xdr:col>
      <xdr:colOff>10886</xdr:colOff>
      <xdr:row>40</xdr:row>
      <xdr:rowOff>185056</xdr:rowOff>
    </xdr:to>
    <xdr:graphicFrame macro="">
      <xdr:nvGraphicFramePr>
        <xdr:cNvPr id="3" name="Chart 2">
          <a:extLst>
            <a:ext uri="{FF2B5EF4-FFF2-40B4-BE49-F238E27FC236}">
              <a16:creationId xmlns:a16="http://schemas.microsoft.com/office/drawing/2014/main" id="{0A8F8008-E977-4920-B2FE-C8E1E95CA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42</xdr:row>
      <xdr:rowOff>181428</xdr:rowOff>
    </xdr:from>
    <xdr:to>
      <xdr:col>26</xdr:col>
      <xdr:colOff>604760</xdr:colOff>
      <xdr:row>62</xdr:row>
      <xdr:rowOff>181427</xdr:rowOff>
    </xdr:to>
    <xdr:graphicFrame macro="">
      <xdr:nvGraphicFramePr>
        <xdr:cNvPr id="4" name="Chart 3">
          <a:extLst>
            <a:ext uri="{FF2B5EF4-FFF2-40B4-BE49-F238E27FC236}">
              <a16:creationId xmlns:a16="http://schemas.microsoft.com/office/drawing/2014/main" id="{041A286F-3EC3-40E1-9E70-A4E732240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610972</xdr:colOff>
      <xdr:row>65</xdr:row>
      <xdr:rowOff>106</xdr:rowOff>
    </xdr:from>
    <xdr:to>
      <xdr:col>27</xdr:col>
      <xdr:colOff>13729</xdr:colOff>
      <xdr:row>85</xdr:row>
      <xdr:rowOff>6971</xdr:rowOff>
    </xdr:to>
    <xdr:graphicFrame macro="">
      <xdr:nvGraphicFramePr>
        <xdr:cNvPr id="5" name="Chart 4">
          <a:extLst>
            <a:ext uri="{FF2B5EF4-FFF2-40B4-BE49-F238E27FC236}">
              <a16:creationId xmlns:a16="http://schemas.microsoft.com/office/drawing/2014/main" id="{2B477A9B-6B90-42B6-8D08-984E5F6D7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318653</xdr:colOff>
      <xdr:row>7</xdr:row>
      <xdr:rowOff>180107</xdr:rowOff>
    </xdr:from>
    <xdr:to>
      <xdr:col>35</xdr:col>
      <xdr:colOff>13854</xdr:colOff>
      <xdr:row>16</xdr:row>
      <xdr:rowOff>4375</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97510300-17C8-4773-9CD4-AA73F41F166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635963" y="1467624"/>
              <a:ext cx="4529960" cy="14796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320843</xdr:colOff>
      <xdr:row>17</xdr:row>
      <xdr:rowOff>5743</xdr:rowOff>
    </xdr:from>
    <xdr:to>
      <xdr:col>31</xdr:col>
      <xdr:colOff>157655</xdr:colOff>
      <xdr:row>38</xdr:row>
      <xdr:rowOff>13854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F67CD40-9E2A-43D8-94DB-7C42640D90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638153" y="3132571"/>
              <a:ext cx="2254192" cy="3870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486103</xdr:colOff>
      <xdr:row>17</xdr:row>
      <xdr:rowOff>0</xdr:rowOff>
    </xdr:from>
    <xdr:to>
      <xdr:col>35</xdr:col>
      <xdr:colOff>15765</xdr:colOff>
      <xdr:row>38</xdr:row>
      <xdr:rowOff>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2D60168B-CBA1-473A-8084-DA34CE7E0A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220793" y="3126828"/>
              <a:ext cx="1947041" cy="3862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433431</xdr:colOff>
      <xdr:row>43</xdr:row>
      <xdr:rowOff>20971</xdr:rowOff>
    </xdr:from>
    <xdr:to>
      <xdr:col>34</xdr:col>
      <xdr:colOff>594221</xdr:colOff>
      <xdr:row>45</xdr:row>
      <xdr:rowOff>167780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91A4F766-612C-44EC-1D2C-C5B9BF37BAE9}"/>
            </a:ext>
          </a:extLst>
        </xdr:cNvPr>
        <xdr:cNvSpPr/>
      </xdr:nvSpPr>
      <xdr:spPr>
        <a:xfrm>
          <a:off x="16854881" y="7850696"/>
          <a:ext cx="4418202" cy="5103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Sales_Data</a:t>
          </a:r>
        </a:p>
      </xdr:txBody>
    </xdr:sp>
    <xdr:clientData/>
  </xdr:twoCellAnchor>
  <xdr:twoCellAnchor>
    <xdr:from>
      <xdr:col>27</xdr:col>
      <xdr:colOff>439020</xdr:colOff>
      <xdr:row>47</xdr:row>
      <xdr:rowOff>19576</xdr:rowOff>
    </xdr:from>
    <xdr:to>
      <xdr:col>34</xdr:col>
      <xdr:colOff>594221</xdr:colOff>
      <xdr:row>49</xdr:row>
      <xdr:rowOff>167778</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07B9CA0B-07E9-442C-8EAC-D6CB6DDB20AE}"/>
            </a:ext>
          </a:extLst>
        </xdr:cNvPr>
        <xdr:cNvSpPr/>
      </xdr:nvSpPr>
      <xdr:spPr>
        <a:xfrm>
          <a:off x="16860470" y="8576347"/>
          <a:ext cx="4412613" cy="511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Formula Sheet</a:t>
          </a:r>
        </a:p>
      </xdr:txBody>
    </xdr:sp>
    <xdr:clientData/>
  </xdr:twoCellAnchor>
  <xdr:twoCellAnchor>
    <xdr:from>
      <xdr:col>27</xdr:col>
      <xdr:colOff>440422</xdr:colOff>
      <xdr:row>51</xdr:row>
      <xdr:rowOff>20972</xdr:rowOff>
    </xdr:from>
    <xdr:to>
      <xdr:col>34</xdr:col>
      <xdr:colOff>601211</xdr:colOff>
      <xdr:row>53</xdr:row>
      <xdr:rowOff>176167</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3B7511FD-71C3-4CBA-B62C-868D1BA74B2D}"/>
            </a:ext>
          </a:extLst>
        </xdr:cNvPr>
        <xdr:cNvSpPr/>
      </xdr:nvSpPr>
      <xdr:spPr>
        <a:xfrm>
          <a:off x="16861872" y="9304789"/>
          <a:ext cx="4418201" cy="5187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Pivot_Table</a:t>
          </a:r>
        </a:p>
      </xdr:txBody>
    </xdr:sp>
    <xdr:clientData/>
  </xdr:twoCellAnchor>
  <xdr:twoCellAnchor>
    <xdr:from>
      <xdr:col>27</xdr:col>
      <xdr:colOff>425042</xdr:colOff>
      <xdr:row>55</xdr:row>
      <xdr:rowOff>19574</xdr:rowOff>
    </xdr:from>
    <xdr:to>
      <xdr:col>34</xdr:col>
      <xdr:colOff>585831</xdr:colOff>
      <xdr:row>57</xdr:row>
      <xdr:rowOff>174768</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F53BA501-B4B7-4509-9B07-4893B3DE8538}"/>
            </a:ext>
          </a:extLst>
        </xdr:cNvPr>
        <xdr:cNvSpPr/>
      </xdr:nvSpPr>
      <xdr:spPr>
        <a:xfrm>
          <a:off x="16846492" y="10030436"/>
          <a:ext cx="4418201" cy="5187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Instruction</a:t>
          </a:r>
        </a:p>
      </xdr:txBody>
    </xdr:sp>
    <xdr:clientData/>
  </xdr:twoCellAnchor>
  <xdr:twoCellAnchor editAs="oneCell">
    <xdr:from>
      <xdr:col>0</xdr:col>
      <xdr:colOff>27710</xdr:colOff>
      <xdr:row>0</xdr:row>
      <xdr:rowOff>11043</xdr:rowOff>
    </xdr:from>
    <xdr:to>
      <xdr:col>2</xdr:col>
      <xdr:colOff>392144</xdr:colOff>
      <xdr:row>6</xdr:row>
      <xdr:rowOff>44173</xdr:rowOff>
    </xdr:to>
    <xdr:pic>
      <xdr:nvPicPr>
        <xdr:cNvPr id="15" name="Picture 14">
          <a:extLst>
            <a:ext uri="{FF2B5EF4-FFF2-40B4-BE49-F238E27FC236}">
              <a16:creationId xmlns:a16="http://schemas.microsoft.com/office/drawing/2014/main" id="{7ACB0A50-F41C-E2F9-6583-0F3A46939F93}"/>
            </a:ext>
          </a:extLst>
        </xdr:cNvPr>
        <xdr:cNvPicPr>
          <a:picLocks noChangeAspect="1"/>
        </xdr:cNvPicPr>
      </xdr:nvPicPr>
      <xdr:blipFill>
        <a:blip xmlns:r="http://schemas.openxmlformats.org/officeDocument/2006/relationships" r:embed="rId9"/>
        <a:stretch>
          <a:fillRect/>
        </a:stretch>
      </xdr:blipFill>
      <xdr:spPr>
        <a:xfrm>
          <a:off x="27710" y="11043"/>
          <a:ext cx="1583634" cy="11137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75.006644907407" createdVersion="8" refreshedVersion="8" minRefreshableVersion="3" recordCount="300" xr:uid="{6600B7E0-50E1-46A0-81D4-3BD4D9B817F8}">
  <cacheSource type="worksheet">
    <worksheetSource name="Table1"/>
  </cacheSource>
  <cacheFields count="11">
    <cacheField name="Order ID" numFmtId="0">
      <sharedItems/>
    </cacheField>
    <cacheField name="Order Date" numFmtId="14">
      <sharedItems containsSemiMixedTypes="0" containsNonDate="0" containsDate="1" containsString="0" minDate="2023-01-03T00:00:00" maxDate="2025-01-01T00:00:00" count="250">
        <d v="2023-04-08T00:00:00"/>
        <d v="2023-06-22T00:00:00"/>
        <d v="2023-04-30T00:00:00"/>
        <d v="2023-06-26T00:00:00"/>
        <d v="2024-12-14T00:00:00"/>
        <d v="2024-07-08T00:00:00"/>
        <d v="2024-03-18T00:00:00"/>
        <d v="2024-01-20T00:00:00"/>
        <d v="2024-05-08T00:00:00"/>
        <d v="2024-08-16T00:00:00"/>
        <d v="2024-04-26T00:00:00"/>
        <d v="2024-03-12T00:00:00"/>
        <d v="2023-11-17T00:00:00"/>
        <d v="2023-12-22T00:00:00"/>
        <d v="2024-02-15T00:00:00"/>
        <d v="2023-07-21T00:00:00"/>
        <d v="2023-06-30T00:00:00"/>
        <d v="2024-02-06T00:00:00"/>
        <d v="2024-11-18T00:00:00"/>
        <d v="2023-06-27T00:00:00"/>
        <d v="2024-04-25T00:00:00"/>
        <d v="2023-06-08T00:00:00"/>
        <d v="2024-07-14T00:00:00"/>
        <d v="2024-11-28T00:00:00"/>
        <d v="2023-04-18T00:00:00"/>
        <d v="2023-09-19T00:00:00"/>
        <d v="2024-12-09T00:00:00"/>
        <d v="2024-08-02T00:00:00"/>
        <d v="2024-04-30T00:00:00"/>
        <d v="2024-02-18T00:00:00"/>
        <d v="2024-12-02T00:00:00"/>
        <d v="2024-10-24T00:00:00"/>
        <d v="2024-01-23T00:00:00"/>
        <d v="2024-07-23T00:00:00"/>
        <d v="2024-02-25T00:00:00"/>
        <d v="2024-08-12T00:00:00"/>
        <d v="2024-08-25T00:00:00"/>
        <d v="2023-07-18T00:00:00"/>
        <d v="2023-09-05T00:00:00"/>
        <d v="2023-12-04T00:00:00"/>
        <d v="2023-12-06T00:00:00"/>
        <d v="2024-11-06T00:00:00"/>
        <d v="2024-11-23T00:00:00"/>
        <d v="2024-05-10T00:00:00"/>
        <d v="2023-02-18T00:00:00"/>
        <d v="2024-10-05T00:00:00"/>
        <d v="2023-12-11T00:00:00"/>
        <d v="2023-05-25T00:00:00"/>
        <d v="2024-06-10T00:00:00"/>
        <d v="2023-03-13T00:00:00"/>
        <d v="2024-12-25T00:00:00"/>
        <d v="2024-08-24T00:00:00"/>
        <d v="2023-03-31T00:00:00"/>
        <d v="2024-09-26T00:00:00"/>
        <d v="2023-07-22T00:00:00"/>
        <d v="2023-05-08T00:00:00"/>
        <d v="2024-08-21T00:00:00"/>
        <d v="2024-02-27T00:00:00"/>
        <d v="2024-08-15T00:00:00"/>
        <d v="2023-07-05T00:00:00"/>
        <d v="2024-07-24T00:00:00"/>
        <d v="2024-12-27T00:00:00"/>
        <d v="2023-05-21T00:00:00"/>
        <d v="2024-08-03T00:00:00"/>
        <d v="2023-06-12T00:00:00"/>
        <d v="2023-11-16T00:00:00"/>
        <d v="2023-04-20T00:00:00"/>
        <d v="2024-11-15T00:00:00"/>
        <d v="2024-05-11T00:00:00"/>
        <d v="2023-01-04T00:00:00"/>
        <d v="2023-02-10T00:00:00"/>
        <d v="2024-05-30T00:00:00"/>
        <d v="2023-02-19T00:00:00"/>
        <d v="2024-12-19T00:00:00"/>
        <d v="2023-04-19T00:00:00"/>
        <d v="2024-04-14T00:00:00"/>
        <d v="2023-09-03T00:00:00"/>
        <d v="2024-09-27T00:00:00"/>
        <d v="2023-09-27T00:00:00"/>
        <d v="2024-09-08T00:00:00"/>
        <d v="2024-02-20T00:00:00"/>
        <d v="2024-10-26T00:00:00"/>
        <d v="2024-05-19T00:00:00"/>
        <d v="2023-03-22T00:00:00"/>
        <d v="2024-12-29T00:00:00"/>
        <d v="2023-10-27T00:00:00"/>
        <d v="2023-10-03T00:00:00"/>
        <d v="2024-09-04T00:00:00"/>
        <d v="2024-04-19T00:00:00"/>
        <d v="2023-07-08T00:00:00"/>
        <d v="2023-10-05T00:00:00"/>
        <d v="2023-09-28T00:00:00"/>
        <d v="2024-03-25T00:00:00"/>
        <d v="2023-08-20T00:00:00"/>
        <d v="2023-08-08T00:00:00"/>
        <d v="2023-05-28T00:00:00"/>
        <d v="2023-04-25T00:00:00"/>
        <d v="2024-02-14T00:00:00"/>
        <d v="2023-11-22T00:00:00"/>
        <d v="2024-10-02T00:00:00"/>
        <d v="2024-04-12T00:00:00"/>
        <d v="2023-01-22T00:00:00"/>
        <d v="2023-04-15T00:00:00"/>
        <d v="2023-07-03T00:00:00"/>
        <d v="2023-01-05T00:00:00"/>
        <d v="2024-11-30T00:00:00"/>
        <d v="2024-07-03T00:00:00"/>
        <d v="2023-10-24T00:00:00"/>
        <d v="2024-06-06T00:00:00"/>
        <d v="2024-06-11T00:00:00"/>
        <d v="2024-07-16T00:00:00"/>
        <d v="2023-11-28T00:00:00"/>
        <d v="2023-07-12T00:00:00"/>
        <d v="2024-09-22T00:00:00"/>
        <d v="2023-09-13T00:00:00"/>
        <d v="2024-08-01T00:00:00"/>
        <d v="2023-09-26T00:00:00"/>
        <d v="2023-09-20T00:00:00"/>
        <d v="2024-10-07T00:00:00"/>
        <d v="2024-06-24T00:00:00"/>
        <d v="2023-02-23T00:00:00"/>
        <d v="2024-10-21T00:00:00"/>
        <d v="2024-12-13T00:00:00"/>
        <d v="2024-01-08T00:00:00"/>
        <d v="2023-02-14T00:00:00"/>
        <d v="2023-05-07T00:00:00"/>
        <d v="2024-02-05T00:00:00"/>
        <d v="2024-04-13T00:00:00"/>
        <d v="2023-10-02T00:00:00"/>
        <d v="2023-03-02T00:00:00"/>
        <d v="2024-03-27T00:00:00"/>
        <d v="2024-06-29T00:00:00"/>
        <d v="2023-09-17T00:00:00"/>
        <d v="2023-12-15T00:00:00"/>
        <d v="2023-02-28T00:00:00"/>
        <d v="2023-08-06T00:00:00"/>
        <d v="2024-08-10T00:00:00"/>
        <d v="2023-02-01T00:00:00"/>
        <d v="2024-07-11T00:00:00"/>
        <d v="2023-09-07T00:00:00"/>
        <d v="2023-05-16T00:00:00"/>
        <d v="2023-06-10T00:00:00"/>
        <d v="2023-01-03T00:00:00"/>
        <d v="2023-03-09T00:00:00"/>
        <d v="2024-12-23T00:00:00"/>
        <d v="2023-03-26T00:00:00"/>
        <d v="2023-01-16T00:00:00"/>
        <d v="2024-08-22T00:00:00"/>
        <d v="2024-11-29T00:00:00"/>
        <d v="2023-11-11T00:00:00"/>
        <d v="2024-02-16T00:00:00"/>
        <d v="2023-11-25T00:00:00"/>
        <d v="2023-05-22T00:00:00"/>
        <d v="2024-11-17T00:00:00"/>
        <d v="2023-11-07T00:00:00"/>
        <d v="2024-12-24T00:00:00"/>
        <d v="2023-08-19T00:00:00"/>
        <d v="2023-10-21T00:00:00"/>
        <d v="2023-05-31T00:00:00"/>
        <d v="2024-01-21T00:00:00"/>
        <d v="2024-09-11T00:00:00"/>
        <d v="2024-10-14T00:00:00"/>
        <d v="2024-04-06T00:00:00"/>
        <d v="2024-07-25T00:00:00"/>
        <d v="2024-09-16T00:00:00"/>
        <d v="2024-08-07T00:00:00"/>
        <d v="2024-12-17T00:00:00"/>
        <d v="2024-05-21T00:00:00"/>
        <d v="2023-06-15T00:00:00"/>
        <d v="2024-02-02T00:00:00"/>
        <d v="2023-09-14T00:00:00"/>
        <d v="2023-06-05T00:00:00"/>
        <d v="2024-04-08T00:00:00"/>
        <d v="2024-03-16T00:00:00"/>
        <d v="2023-02-11T00:00:00"/>
        <d v="2024-02-19T00:00:00"/>
        <d v="2023-07-13T00:00:00"/>
        <d v="2024-07-18T00:00:00"/>
        <d v="2024-12-26T00:00:00"/>
        <d v="2023-06-28T00:00:00"/>
        <d v="2023-04-06T00:00:00"/>
        <d v="2023-11-06T00:00:00"/>
        <d v="2024-10-25T00:00:00"/>
        <d v="2024-12-10T00:00:00"/>
        <d v="2024-04-02T00:00:00"/>
        <d v="2023-10-15T00:00:00"/>
        <d v="2024-06-01T00:00:00"/>
        <d v="2024-12-05T00:00:00"/>
        <d v="2024-06-14T00:00:00"/>
        <d v="2023-02-12T00:00:00"/>
        <d v="2024-08-31T00:00:00"/>
        <d v="2023-12-28T00:00:00"/>
        <d v="2024-02-04T00:00:00"/>
        <d v="2024-12-11T00:00:00"/>
        <d v="2024-01-05T00:00:00"/>
        <d v="2023-03-12T00:00:00"/>
        <d v="2023-10-13T00:00:00"/>
        <d v="2023-03-30T00:00:00"/>
        <d v="2024-02-11T00:00:00"/>
        <d v="2023-01-15T00:00:00"/>
        <d v="2023-12-27T00:00:00"/>
        <d v="2023-08-18T00:00:00"/>
        <d v="2024-10-12T00:00:00"/>
        <d v="2023-01-23T00:00:00"/>
        <d v="2023-09-10T00:00:00"/>
        <d v="2024-08-05T00:00:00"/>
        <d v="2023-01-13T00:00:00"/>
        <d v="2023-11-30T00:00:00"/>
        <d v="2024-06-12T00:00:00"/>
        <d v="2023-08-03T00:00:00"/>
        <d v="2023-08-01T00:00:00"/>
        <d v="2023-04-22T00:00:00"/>
        <d v="2024-10-31T00:00:00"/>
        <d v="2024-02-17T00:00:00"/>
        <d v="2023-06-01T00:00:00"/>
        <d v="2024-05-07T00:00:00"/>
        <d v="2023-10-14T00:00:00"/>
        <d v="2023-05-14T00:00:00"/>
        <d v="2024-01-24T00:00:00"/>
        <d v="2024-04-03T00:00:00"/>
        <d v="2024-01-09T00:00:00"/>
        <d v="2024-11-14T00:00:00"/>
        <d v="2024-07-30T00:00:00"/>
        <d v="2024-04-04T00:00:00"/>
        <d v="2024-10-22T00:00:00"/>
        <d v="2024-07-19T00:00:00"/>
        <d v="2024-11-27T00:00:00"/>
        <d v="2023-12-16T00:00:00"/>
        <d v="2024-08-08T00:00:00"/>
        <d v="2024-04-10T00:00:00"/>
        <d v="2023-12-31T00:00:00"/>
        <d v="2024-12-31T00:00:00"/>
        <d v="2024-10-01T00:00:00"/>
        <d v="2023-02-13T00:00:00"/>
        <d v="2024-09-17T00:00:00"/>
        <d v="2023-07-10T00:00:00"/>
        <d v="2024-01-28T00:00:00"/>
        <d v="2024-09-19T00:00:00"/>
        <d v="2024-06-30T00:00:00"/>
        <d v="2023-09-01T00:00:00"/>
        <d v="2024-06-18T00:00:00"/>
        <d v="2023-01-06T00:00:00"/>
        <d v="2024-02-28T00:00:00"/>
        <d v="2023-03-19T00:00:00"/>
        <d v="2024-05-27T00:00:00"/>
        <d v="2023-02-04T00:00:00"/>
        <d v="2024-01-02T00:00:00"/>
        <d v="2024-01-16T00:00:00"/>
        <d v="2024-08-11T00:00:00"/>
        <d v="2023-08-10T00:00:00"/>
      </sharedItems>
    </cacheField>
    <cacheField name="Region" numFmtId="0">
      <sharedItems count="4">
        <s v="West"/>
        <s v="East"/>
        <s v="North"/>
        <s v="South"/>
      </sharedItems>
    </cacheField>
    <cacheField name="Category" numFmtId="0">
      <sharedItems count="3">
        <s v="Furniture"/>
        <s v="Technology"/>
        <s v="Office Supplies"/>
      </sharedItems>
    </cacheField>
    <cacheField name="Product_Name" numFmtId="0">
      <sharedItems count="8">
        <s v="Desk"/>
        <s v="Monitor"/>
        <s v="Table"/>
        <s v="Laptop"/>
        <s v="Printer"/>
        <s v="Phone"/>
        <s v="Notebook"/>
        <s v="Chair"/>
      </sharedItems>
    </cacheField>
    <cacheField name="Customer_Name" numFmtId="0">
      <sharedItems count="20">
        <s v="Vivaan Shah"/>
        <s v="Ritika Sharma"/>
        <s v="Mohit Agarwal"/>
        <s v="Aditya Kumar"/>
        <s v="Ananya Gupta"/>
        <s v="Arjun Singh"/>
        <s v="Rohan Desai"/>
        <s v="Pooja Yadav"/>
        <s v="Kavya Mehta"/>
        <s v="Sanjay Patel"/>
        <s v="Nisha Roy"/>
        <s v="Krishna Verma"/>
        <s v="Rahul Jain"/>
        <s v="Neha Kapoor"/>
        <s v="Aarav Patel"/>
        <s v="Amit Mishra"/>
        <s v="Diya Sharma"/>
        <s v="Karan Mehta"/>
        <s v="Sneha Joshi"/>
        <s v="Priya Patel"/>
      </sharedItems>
    </cacheField>
    <cacheField name="Quantity" numFmtId="1">
      <sharedItems containsSemiMixedTypes="0" containsString="0" containsNumber="1" containsInteger="1" minValue="1" maxValue="10"/>
    </cacheField>
    <cacheField name="Sales" numFmtId="164">
      <sharedItems containsSemiMixedTypes="0" containsString="0" containsNumber="1" minValue="103.17" maxValue="4962.71"/>
    </cacheField>
    <cacheField name="Discount" numFmtId="10">
      <sharedItems containsSemiMixedTypes="0" containsString="0" containsNumber="1" minValue="0" maxValue="0.2"/>
    </cacheField>
    <cacheField name="Profit" numFmtId="164">
      <sharedItems containsSemiMixedTypes="0" containsString="0" containsNumber="1" minValue="8.18" maxValue="1465.11"/>
    </cacheField>
    <cacheField name="Profit Margin" numFmtId="10">
      <sharedItems containsSemiMixedTypes="0" containsString="0" containsNumber="1" minValue="5.3178219421554367E-2" maxValue="0.29952345613895198"/>
    </cacheField>
  </cacheFields>
  <extLst>
    <ext xmlns:x14="http://schemas.microsoft.com/office/spreadsheetml/2009/9/main" uri="{725AE2AE-9491-48be-B2B4-4EB974FC3084}">
      <x14:pivotCacheDefinition pivotCacheId="1397983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002"/>
    <x v="0"/>
    <x v="0"/>
    <x v="0"/>
    <x v="0"/>
    <x v="0"/>
    <n v="2"/>
    <n v="3497.31"/>
    <n v="0.1"/>
    <n v="621.59"/>
    <n v="0.17773374393462399"/>
  </r>
  <r>
    <s v="ORD100003"/>
    <x v="1"/>
    <x v="1"/>
    <x v="0"/>
    <x v="1"/>
    <x v="1"/>
    <n v="2"/>
    <n v="3231.61"/>
    <n v="0.05"/>
    <n v="854.93"/>
    <n v="0.26455234387812882"/>
  </r>
  <r>
    <s v="ORD100004"/>
    <x v="2"/>
    <x v="2"/>
    <x v="1"/>
    <x v="0"/>
    <x v="2"/>
    <n v="6"/>
    <n v="3844.45"/>
    <n v="0.1"/>
    <n v="731.23"/>
    <n v="0.1902040603987567"/>
  </r>
  <r>
    <s v="ORD100005"/>
    <x v="3"/>
    <x v="1"/>
    <x v="0"/>
    <x v="0"/>
    <x v="2"/>
    <n v="6"/>
    <n v="124.67"/>
    <n v="0.05"/>
    <n v="12.8"/>
    <n v="0.1026710515761611"/>
  </r>
  <r>
    <s v="ORD100006"/>
    <x v="4"/>
    <x v="1"/>
    <x v="1"/>
    <x v="2"/>
    <x v="3"/>
    <n v="6"/>
    <n v="3724.01"/>
    <n v="0.2"/>
    <n v="415.81"/>
    <n v="0.1116565207934458"/>
  </r>
  <r>
    <s v="ORD100007"/>
    <x v="5"/>
    <x v="2"/>
    <x v="1"/>
    <x v="0"/>
    <x v="4"/>
    <n v="1"/>
    <n v="3387.89"/>
    <n v="0.15"/>
    <n v="257.43"/>
    <n v="7.5985347812355192E-2"/>
  </r>
  <r>
    <s v="ORD100008"/>
    <x v="6"/>
    <x v="3"/>
    <x v="1"/>
    <x v="3"/>
    <x v="0"/>
    <n v="3"/>
    <n v="3105.86"/>
    <n v="0"/>
    <n v="787.91"/>
    <n v="0.25368496970243343"/>
  </r>
  <r>
    <s v="ORD100009"/>
    <x v="7"/>
    <x v="0"/>
    <x v="2"/>
    <x v="4"/>
    <x v="5"/>
    <n v="5"/>
    <n v="854.48"/>
    <n v="0.1"/>
    <n v="171.62"/>
    <n v="0.20084729894204659"/>
  </r>
  <r>
    <s v="ORD100010"/>
    <x v="8"/>
    <x v="3"/>
    <x v="0"/>
    <x v="2"/>
    <x v="6"/>
    <n v="6"/>
    <n v="1473.23"/>
    <n v="0.2"/>
    <n v="308.72000000000003"/>
    <n v="0.2095531587057011"/>
  </r>
  <r>
    <s v="ORD100011"/>
    <x v="9"/>
    <x v="1"/>
    <x v="1"/>
    <x v="5"/>
    <x v="4"/>
    <n v="4"/>
    <n v="2056.86"/>
    <n v="0.05"/>
    <n v="413.8"/>
    <n v="0.20118044008828989"/>
  </r>
  <r>
    <s v="ORD100012"/>
    <x v="10"/>
    <x v="0"/>
    <x v="2"/>
    <x v="0"/>
    <x v="7"/>
    <n v="1"/>
    <n v="2171.88"/>
    <n v="0"/>
    <n v="533.39"/>
    <n v="0.24558907490284909"/>
  </r>
  <r>
    <s v="ORD100013"/>
    <x v="11"/>
    <x v="3"/>
    <x v="0"/>
    <x v="6"/>
    <x v="8"/>
    <n v="7"/>
    <n v="2738.48"/>
    <n v="0.2"/>
    <n v="581.29"/>
    <n v="0.2122673892086121"/>
  </r>
  <r>
    <s v="ORD100014"/>
    <x v="12"/>
    <x v="1"/>
    <x v="1"/>
    <x v="7"/>
    <x v="5"/>
    <n v="6"/>
    <n v="1462.49"/>
    <n v="0"/>
    <n v="161.51"/>
    <n v="0.1104349431449104"/>
  </r>
  <r>
    <s v="ORD100015"/>
    <x v="13"/>
    <x v="0"/>
    <x v="1"/>
    <x v="4"/>
    <x v="9"/>
    <n v="3"/>
    <n v="4716.99"/>
    <n v="0.1"/>
    <n v="273.3"/>
    <n v="5.7939491073756788E-2"/>
  </r>
  <r>
    <s v="ORD100016"/>
    <x v="14"/>
    <x v="1"/>
    <x v="0"/>
    <x v="3"/>
    <x v="10"/>
    <n v="2"/>
    <n v="2740.53"/>
    <n v="0"/>
    <n v="394.95"/>
    <n v="0.1441144596118269"/>
  </r>
  <r>
    <s v="ORD100017"/>
    <x v="15"/>
    <x v="3"/>
    <x v="0"/>
    <x v="5"/>
    <x v="5"/>
    <n v="3"/>
    <n v="4424.41"/>
    <n v="0"/>
    <n v="751.61"/>
    <n v="0.1698780176339896"/>
  </r>
  <r>
    <s v="ORD100018"/>
    <x v="16"/>
    <x v="3"/>
    <x v="1"/>
    <x v="0"/>
    <x v="11"/>
    <n v="8"/>
    <n v="3618.24"/>
    <n v="0.2"/>
    <n v="234.59"/>
    <n v="6.4835389581675076E-2"/>
  </r>
  <r>
    <s v="ORD100019"/>
    <x v="17"/>
    <x v="2"/>
    <x v="1"/>
    <x v="5"/>
    <x v="12"/>
    <n v="8"/>
    <n v="1860.74"/>
    <n v="0.05"/>
    <n v="442.55"/>
    <n v="0.23783548480711969"/>
  </r>
  <r>
    <s v="ORD100020"/>
    <x v="18"/>
    <x v="3"/>
    <x v="2"/>
    <x v="1"/>
    <x v="12"/>
    <n v="9"/>
    <n v="208.01"/>
    <n v="0.1"/>
    <n v="27.95"/>
    <n v="0.13436853997403969"/>
  </r>
  <r>
    <s v="ORD100021"/>
    <x v="19"/>
    <x v="3"/>
    <x v="1"/>
    <x v="0"/>
    <x v="8"/>
    <n v="1"/>
    <n v="3035.45"/>
    <n v="0.2"/>
    <n v="684.72"/>
    <n v="0.22557446177667231"/>
  </r>
  <r>
    <s v="ORD100022"/>
    <x v="20"/>
    <x v="1"/>
    <x v="1"/>
    <x v="2"/>
    <x v="1"/>
    <n v="9"/>
    <n v="2915.52"/>
    <n v="0.1"/>
    <n v="729.66"/>
    <n v="0.25026753375041161"/>
  </r>
  <r>
    <s v="ORD100023"/>
    <x v="21"/>
    <x v="3"/>
    <x v="0"/>
    <x v="6"/>
    <x v="3"/>
    <n v="7"/>
    <n v="4885.0600000000004"/>
    <n v="0.2"/>
    <n v="1147.1400000000001"/>
    <n v="0.2348261843252693"/>
  </r>
  <r>
    <s v="ORD100024"/>
    <x v="22"/>
    <x v="3"/>
    <x v="2"/>
    <x v="2"/>
    <x v="13"/>
    <n v="9"/>
    <n v="267.48"/>
    <n v="0.2"/>
    <n v="67.52"/>
    <n v="0.25243008823089569"/>
  </r>
  <r>
    <s v="ORD100025"/>
    <x v="23"/>
    <x v="2"/>
    <x v="1"/>
    <x v="2"/>
    <x v="6"/>
    <n v="9"/>
    <n v="3796.12"/>
    <n v="0"/>
    <n v="256.64999999999998"/>
    <n v="6.7608505526695672E-2"/>
  </r>
  <r>
    <s v="ORD100026"/>
    <x v="24"/>
    <x v="3"/>
    <x v="2"/>
    <x v="3"/>
    <x v="12"/>
    <n v="10"/>
    <n v="461.95"/>
    <n v="0.2"/>
    <n v="42.15"/>
    <n v="9.1243641086697691E-2"/>
  </r>
  <r>
    <s v="ORD100027"/>
    <x v="25"/>
    <x v="0"/>
    <x v="0"/>
    <x v="2"/>
    <x v="3"/>
    <n v="9"/>
    <n v="4068.35"/>
    <n v="0"/>
    <n v="1056.77"/>
    <n v="0.25975395430579967"/>
  </r>
  <r>
    <s v="ORD100028"/>
    <x v="26"/>
    <x v="0"/>
    <x v="1"/>
    <x v="2"/>
    <x v="14"/>
    <n v="3"/>
    <n v="1300.73"/>
    <n v="0"/>
    <n v="209.56"/>
    <n v="0.1611095308019343"/>
  </r>
  <r>
    <s v="ORD100029"/>
    <x v="27"/>
    <x v="0"/>
    <x v="1"/>
    <x v="7"/>
    <x v="10"/>
    <n v="10"/>
    <n v="4526.3100000000004"/>
    <n v="0.15"/>
    <n v="512"/>
    <n v="0.1131164237535653"/>
  </r>
  <r>
    <s v="ORD100030"/>
    <x v="28"/>
    <x v="1"/>
    <x v="0"/>
    <x v="5"/>
    <x v="1"/>
    <n v="7"/>
    <n v="3755.67"/>
    <n v="0.05"/>
    <n v="649.07000000000005"/>
    <n v="0.17282402340993749"/>
  </r>
  <r>
    <s v="ORD100031"/>
    <x v="29"/>
    <x v="3"/>
    <x v="2"/>
    <x v="3"/>
    <x v="12"/>
    <n v="6"/>
    <n v="1791.85"/>
    <n v="0.15"/>
    <n v="171.78"/>
    <n v="9.5867399614923132E-2"/>
  </r>
  <r>
    <s v="ORD100032"/>
    <x v="30"/>
    <x v="0"/>
    <x v="1"/>
    <x v="5"/>
    <x v="15"/>
    <n v="5"/>
    <n v="1336.47"/>
    <n v="0.05"/>
    <n v="104.94"/>
    <n v="7.8520281038856082E-2"/>
  </r>
  <r>
    <s v="ORD100033"/>
    <x v="31"/>
    <x v="0"/>
    <x v="2"/>
    <x v="2"/>
    <x v="2"/>
    <n v="7"/>
    <n v="3926.64"/>
    <n v="0.2"/>
    <n v="431.14"/>
    <n v="0.109798708310413"/>
  </r>
  <r>
    <s v="ORD100034"/>
    <x v="32"/>
    <x v="3"/>
    <x v="1"/>
    <x v="5"/>
    <x v="9"/>
    <n v="5"/>
    <n v="3635.85"/>
    <n v="0.05"/>
    <n v="827.01"/>
    <n v="0.22745987870786749"/>
  </r>
  <r>
    <s v="ORD100035"/>
    <x v="33"/>
    <x v="3"/>
    <x v="0"/>
    <x v="1"/>
    <x v="16"/>
    <n v="7"/>
    <n v="1161.0999999999999"/>
    <n v="0.05"/>
    <n v="328.5"/>
    <n v="0.28292136766859022"/>
  </r>
  <r>
    <s v="ORD100036"/>
    <x v="34"/>
    <x v="3"/>
    <x v="0"/>
    <x v="4"/>
    <x v="11"/>
    <n v="4"/>
    <n v="4189.33"/>
    <n v="0.15"/>
    <n v="1158.3800000000001"/>
    <n v="0.27650722191854071"/>
  </r>
  <r>
    <s v="ORD100037"/>
    <x v="35"/>
    <x v="1"/>
    <x v="1"/>
    <x v="1"/>
    <x v="17"/>
    <n v="1"/>
    <n v="3161.75"/>
    <n v="0.1"/>
    <n v="230.89"/>
    <n v="7.3026014074484058E-2"/>
  </r>
  <r>
    <s v="ORD100038"/>
    <x v="36"/>
    <x v="1"/>
    <x v="1"/>
    <x v="6"/>
    <x v="8"/>
    <n v="2"/>
    <n v="1664.08"/>
    <n v="0.2"/>
    <n v="368.37"/>
    <n v="0.22136555934810831"/>
  </r>
  <r>
    <s v="ORD100039"/>
    <x v="37"/>
    <x v="0"/>
    <x v="2"/>
    <x v="2"/>
    <x v="2"/>
    <n v="8"/>
    <n v="4938.09"/>
    <n v="0"/>
    <n v="1000.56"/>
    <n v="0.20262085138180949"/>
  </r>
  <r>
    <s v="ORD100040"/>
    <x v="38"/>
    <x v="0"/>
    <x v="1"/>
    <x v="5"/>
    <x v="9"/>
    <n v="10"/>
    <n v="761.25"/>
    <n v="0.2"/>
    <n v="93.79"/>
    <n v="0.1232052545155994"/>
  </r>
  <r>
    <s v="ORD100041"/>
    <x v="39"/>
    <x v="2"/>
    <x v="2"/>
    <x v="3"/>
    <x v="15"/>
    <n v="6"/>
    <n v="2597.73"/>
    <n v="0.05"/>
    <n v="412.61"/>
    <n v="0.158834828869821"/>
  </r>
  <r>
    <s v="ORD100042"/>
    <x v="40"/>
    <x v="1"/>
    <x v="0"/>
    <x v="5"/>
    <x v="18"/>
    <n v="3"/>
    <n v="4112.42"/>
    <n v="0.15"/>
    <n v="488.62"/>
    <n v="0.1188156851683437"/>
  </r>
  <r>
    <s v="ORD100043"/>
    <x v="41"/>
    <x v="3"/>
    <x v="1"/>
    <x v="5"/>
    <x v="15"/>
    <n v="7"/>
    <n v="4208.2299999999996"/>
    <n v="0.05"/>
    <n v="542.29999999999995"/>
    <n v="0.12886653058411729"/>
  </r>
  <r>
    <s v="ORD100044"/>
    <x v="42"/>
    <x v="0"/>
    <x v="1"/>
    <x v="4"/>
    <x v="17"/>
    <n v="3"/>
    <n v="4338.76"/>
    <n v="0.1"/>
    <n v="683.61"/>
    <n v="0.157558841696706"/>
  </r>
  <r>
    <s v="ORD100045"/>
    <x v="43"/>
    <x v="3"/>
    <x v="2"/>
    <x v="2"/>
    <x v="16"/>
    <n v="3"/>
    <n v="4546.16"/>
    <n v="0.2"/>
    <n v="553"/>
    <n v="0.12164112129797459"/>
  </r>
  <r>
    <s v="ORD100046"/>
    <x v="44"/>
    <x v="2"/>
    <x v="1"/>
    <x v="4"/>
    <x v="7"/>
    <n v="7"/>
    <n v="2537.8000000000002"/>
    <n v="0.1"/>
    <n v="468.59"/>
    <n v="0.18464417999842381"/>
  </r>
  <r>
    <s v="ORD100047"/>
    <x v="39"/>
    <x v="0"/>
    <x v="2"/>
    <x v="7"/>
    <x v="19"/>
    <n v="5"/>
    <n v="762.33"/>
    <n v="0.05"/>
    <n v="225.38"/>
    <n v="0.29564624244093762"/>
  </r>
  <r>
    <s v="ORD100048"/>
    <x v="35"/>
    <x v="1"/>
    <x v="1"/>
    <x v="7"/>
    <x v="8"/>
    <n v="6"/>
    <n v="3539.39"/>
    <n v="0.15"/>
    <n v="335.05"/>
    <n v="9.4663204676512056E-2"/>
  </r>
  <r>
    <s v="ORD100049"/>
    <x v="45"/>
    <x v="2"/>
    <x v="1"/>
    <x v="3"/>
    <x v="8"/>
    <n v="10"/>
    <n v="4646.59"/>
    <n v="0.05"/>
    <n v="563.07000000000005"/>
    <n v="0.12117918731801169"/>
  </r>
  <r>
    <s v="ORD100050"/>
    <x v="46"/>
    <x v="3"/>
    <x v="0"/>
    <x v="3"/>
    <x v="2"/>
    <n v="1"/>
    <n v="4103.6499999999996"/>
    <n v="0.05"/>
    <n v="725.12"/>
    <n v="0.17670122939334501"/>
  </r>
  <r>
    <s v="ORD100051"/>
    <x v="47"/>
    <x v="1"/>
    <x v="1"/>
    <x v="3"/>
    <x v="15"/>
    <n v="10"/>
    <n v="2433.1999999999998"/>
    <n v="0.1"/>
    <n v="186.35"/>
    <n v="7.6586388295249053E-2"/>
  </r>
  <r>
    <s v="ORD100052"/>
    <x v="45"/>
    <x v="1"/>
    <x v="1"/>
    <x v="7"/>
    <x v="6"/>
    <n v="1"/>
    <n v="4448.63"/>
    <n v="0"/>
    <n v="778.37"/>
    <n v="0.17496847344013769"/>
  </r>
  <r>
    <s v="ORD100053"/>
    <x v="48"/>
    <x v="0"/>
    <x v="0"/>
    <x v="2"/>
    <x v="12"/>
    <n v="3"/>
    <n v="3282.08"/>
    <n v="0.1"/>
    <n v="175.37"/>
    <n v="5.3432579339930779E-2"/>
  </r>
  <r>
    <s v="ORD100054"/>
    <x v="49"/>
    <x v="1"/>
    <x v="2"/>
    <x v="0"/>
    <x v="18"/>
    <n v="10"/>
    <n v="2020.34"/>
    <n v="0.2"/>
    <n v="357.51"/>
    <n v="0.17695536394864231"/>
  </r>
  <r>
    <s v="ORD100055"/>
    <x v="50"/>
    <x v="3"/>
    <x v="1"/>
    <x v="1"/>
    <x v="18"/>
    <n v="9"/>
    <n v="1369.55"/>
    <n v="0.1"/>
    <n v="336.31"/>
    <n v="0.245562411010916"/>
  </r>
  <r>
    <s v="ORD100056"/>
    <x v="51"/>
    <x v="2"/>
    <x v="0"/>
    <x v="5"/>
    <x v="10"/>
    <n v="10"/>
    <n v="1274.08"/>
    <n v="0.15"/>
    <n v="313.77999999999997"/>
    <n v="0.2462796684666583"/>
  </r>
  <r>
    <s v="ORD100057"/>
    <x v="52"/>
    <x v="0"/>
    <x v="1"/>
    <x v="5"/>
    <x v="9"/>
    <n v="1"/>
    <n v="1980.23"/>
    <n v="0.2"/>
    <n v="206.83"/>
    <n v="0.1044474631734698"/>
  </r>
  <r>
    <s v="ORD100058"/>
    <x v="53"/>
    <x v="1"/>
    <x v="0"/>
    <x v="5"/>
    <x v="19"/>
    <n v="3"/>
    <n v="1716.47"/>
    <n v="0.1"/>
    <n v="482.06"/>
    <n v="0.28084382482653347"/>
  </r>
  <r>
    <s v="ORD100059"/>
    <x v="14"/>
    <x v="1"/>
    <x v="1"/>
    <x v="6"/>
    <x v="9"/>
    <n v="8"/>
    <n v="4562.97"/>
    <n v="0"/>
    <n v="244.16"/>
    <n v="5.3509008387081218E-2"/>
  </r>
  <r>
    <s v="ORD100060"/>
    <x v="54"/>
    <x v="2"/>
    <x v="2"/>
    <x v="6"/>
    <x v="5"/>
    <n v="7"/>
    <n v="135.88999999999999"/>
    <n v="0"/>
    <n v="29.86"/>
    <n v="0.219736551622636"/>
  </r>
  <r>
    <s v="ORD100061"/>
    <x v="55"/>
    <x v="3"/>
    <x v="2"/>
    <x v="6"/>
    <x v="13"/>
    <n v="4"/>
    <n v="4933.3900000000003"/>
    <n v="0.2"/>
    <n v="513.73"/>
    <n v="0.1041332633341374"/>
  </r>
  <r>
    <s v="ORD100062"/>
    <x v="56"/>
    <x v="1"/>
    <x v="0"/>
    <x v="6"/>
    <x v="15"/>
    <n v="3"/>
    <n v="4672.55"/>
    <n v="0.15"/>
    <n v="490.13"/>
    <n v="0.1048956137441012"/>
  </r>
  <r>
    <s v="ORD100063"/>
    <x v="57"/>
    <x v="2"/>
    <x v="0"/>
    <x v="0"/>
    <x v="3"/>
    <n v="5"/>
    <n v="2578.6999999999998"/>
    <n v="0.2"/>
    <n v="686.25"/>
    <n v="0.26612246480784901"/>
  </r>
  <r>
    <s v="ORD100064"/>
    <x v="58"/>
    <x v="0"/>
    <x v="2"/>
    <x v="4"/>
    <x v="5"/>
    <n v="8"/>
    <n v="931.86"/>
    <n v="0.05"/>
    <n v="187.79"/>
    <n v="0.2015216878071813"/>
  </r>
  <r>
    <s v="ORD100065"/>
    <x v="59"/>
    <x v="2"/>
    <x v="2"/>
    <x v="3"/>
    <x v="6"/>
    <n v="4"/>
    <n v="2311.66"/>
    <n v="0.2"/>
    <n v="486.4"/>
    <n v="0.2104115657146812"/>
  </r>
  <r>
    <s v="ORD100066"/>
    <x v="60"/>
    <x v="1"/>
    <x v="0"/>
    <x v="1"/>
    <x v="0"/>
    <n v="8"/>
    <n v="2317.5500000000002"/>
    <n v="0.15"/>
    <n v="215.84"/>
    <n v="9.3132834243058391E-2"/>
  </r>
  <r>
    <s v="ORD100067"/>
    <x v="61"/>
    <x v="3"/>
    <x v="2"/>
    <x v="7"/>
    <x v="7"/>
    <n v="7"/>
    <n v="1823.75"/>
    <n v="0.05"/>
    <n v="295.60000000000002"/>
    <n v="0.16208361891706649"/>
  </r>
  <r>
    <s v="ORD100068"/>
    <x v="62"/>
    <x v="0"/>
    <x v="1"/>
    <x v="5"/>
    <x v="8"/>
    <n v="8"/>
    <n v="4085.8"/>
    <n v="0"/>
    <n v="755.49"/>
    <n v="0.18490626070781729"/>
  </r>
  <r>
    <s v="ORD100069"/>
    <x v="63"/>
    <x v="3"/>
    <x v="1"/>
    <x v="3"/>
    <x v="16"/>
    <n v="6"/>
    <n v="2940.4"/>
    <n v="0.15"/>
    <n v="688.39"/>
    <n v="0.23411440620323759"/>
  </r>
  <r>
    <s v="ORD100070"/>
    <x v="64"/>
    <x v="2"/>
    <x v="1"/>
    <x v="4"/>
    <x v="2"/>
    <n v="8"/>
    <n v="510.16"/>
    <n v="0.1"/>
    <n v="100.88"/>
    <n v="0.19774188489885519"/>
  </r>
  <r>
    <s v="ORD100071"/>
    <x v="65"/>
    <x v="2"/>
    <x v="1"/>
    <x v="7"/>
    <x v="2"/>
    <n v="5"/>
    <n v="4819.34"/>
    <n v="0.1"/>
    <n v="298.99"/>
    <n v="6.2039615383019248E-2"/>
  </r>
  <r>
    <s v="ORD100072"/>
    <x v="66"/>
    <x v="3"/>
    <x v="0"/>
    <x v="3"/>
    <x v="3"/>
    <n v="10"/>
    <n v="3380.82"/>
    <n v="0.2"/>
    <n v="241.95"/>
    <n v="7.1565478197597024E-2"/>
  </r>
  <r>
    <s v="ORD100073"/>
    <x v="7"/>
    <x v="1"/>
    <x v="1"/>
    <x v="2"/>
    <x v="0"/>
    <n v="10"/>
    <n v="1411.69"/>
    <n v="0"/>
    <n v="286.76"/>
    <n v="0.2031324157570005"/>
  </r>
  <r>
    <s v="ORD100074"/>
    <x v="67"/>
    <x v="2"/>
    <x v="0"/>
    <x v="0"/>
    <x v="0"/>
    <n v="7"/>
    <n v="2178.9"/>
    <n v="0.2"/>
    <n v="305.51"/>
    <n v="0.14021295148928359"/>
  </r>
  <r>
    <s v="ORD100075"/>
    <x v="68"/>
    <x v="1"/>
    <x v="0"/>
    <x v="6"/>
    <x v="17"/>
    <n v="4"/>
    <n v="410.81"/>
    <n v="0.05"/>
    <n v="25.55"/>
    <n v="6.2194201699082297E-2"/>
  </r>
  <r>
    <s v="ORD100076"/>
    <x v="69"/>
    <x v="0"/>
    <x v="0"/>
    <x v="5"/>
    <x v="11"/>
    <n v="2"/>
    <n v="3706.72"/>
    <n v="0"/>
    <n v="379.47"/>
    <n v="0.1023735269996115"/>
  </r>
  <r>
    <s v="ORD100077"/>
    <x v="70"/>
    <x v="1"/>
    <x v="0"/>
    <x v="3"/>
    <x v="9"/>
    <n v="1"/>
    <n v="733.11"/>
    <n v="0.1"/>
    <n v="219.5"/>
    <n v="0.29940936557951742"/>
  </r>
  <r>
    <s v="ORD100078"/>
    <x v="71"/>
    <x v="0"/>
    <x v="0"/>
    <x v="4"/>
    <x v="17"/>
    <n v="7"/>
    <n v="2223.52"/>
    <n v="0.15"/>
    <n v="174.28"/>
    <n v="7.8380225948046348E-2"/>
  </r>
  <r>
    <s v="ORD100079"/>
    <x v="72"/>
    <x v="1"/>
    <x v="2"/>
    <x v="6"/>
    <x v="6"/>
    <n v="4"/>
    <n v="3818.38"/>
    <n v="0.2"/>
    <n v="272.56"/>
    <n v="7.1381056887999617E-2"/>
  </r>
  <r>
    <s v="ORD100080"/>
    <x v="73"/>
    <x v="0"/>
    <x v="2"/>
    <x v="0"/>
    <x v="10"/>
    <n v="5"/>
    <n v="3623.37"/>
    <n v="0.15"/>
    <n v="588.59"/>
    <n v="0.1624426983719576"/>
  </r>
  <r>
    <s v="ORD100081"/>
    <x v="74"/>
    <x v="2"/>
    <x v="2"/>
    <x v="6"/>
    <x v="5"/>
    <n v="2"/>
    <n v="2955.29"/>
    <n v="0.05"/>
    <n v="830.77"/>
    <n v="0.2811128518690213"/>
  </r>
  <r>
    <s v="ORD100082"/>
    <x v="75"/>
    <x v="3"/>
    <x v="0"/>
    <x v="0"/>
    <x v="5"/>
    <n v="4"/>
    <n v="4639.2700000000004"/>
    <n v="0"/>
    <n v="391.61"/>
    <n v="8.4411987230749663E-2"/>
  </r>
  <r>
    <s v="ORD100083"/>
    <x v="76"/>
    <x v="3"/>
    <x v="1"/>
    <x v="0"/>
    <x v="17"/>
    <n v="2"/>
    <n v="754.81"/>
    <n v="0.1"/>
    <n v="157.4"/>
    <n v="0.2085292987639274"/>
  </r>
  <r>
    <s v="ORD100084"/>
    <x v="77"/>
    <x v="0"/>
    <x v="1"/>
    <x v="0"/>
    <x v="8"/>
    <n v="8"/>
    <n v="3515.43"/>
    <n v="0.2"/>
    <n v="971.41"/>
    <n v="0.2763275047433742"/>
  </r>
  <r>
    <s v="ORD100085"/>
    <x v="78"/>
    <x v="1"/>
    <x v="1"/>
    <x v="3"/>
    <x v="2"/>
    <n v="5"/>
    <n v="2408.35"/>
    <n v="0.05"/>
    <n v="487.25"/>
    <n v="0.2023169389831212"/>
  </r>
  <r>
    <s v="ORD100086"/>
    <x v="79"/>
    <x v="0"/>
    <x v="2"/>
    <x v="3"/>
    <x v="4"/>
    <n v="8"/>
    <n v="4767.74"/>
    <n v="0.2"/>
    <n v="365.96"/>
    <n v="7.6757541308880101E-2"/>
  </r>
  <r>
    <s v="ORD100087"/>
    <x v="67"/>
    <x v="0"/>
    <x v="1"/>
    <x v="6"/>
    <x v="6"/>
    <n v="3"/>
    <n v="2489.3200000000002"/>
    <n v="0.05"/>
    <n v="414.57"/>
    <n v="0.16653945655841751"/>
  </r>
  <r>
    <s v="ORD100088"/>
    <x v="80"/>
    <x v="1"/>
    <x v="2"/>
    <x v="6"/>
    <x v="16"/>
    <n v="3"/>
    <n v="1127.58"/>
    <n v="0.2"/>
    <n v="256.36"/>
    <n v="0.22735415668954759"/>
  </r>
  <r>
    <s v="ORD100089"/>
    <x v="81"/>
    <x v="2"/>
    <x v="2"/>
    <x v="7"/>
    <x v="19"/>
    <n v="1"/>
    <n v="2618.0300000000002"/>
    <n v="0"/>
    <n v="484.98"/>
    <n v="0.1852461583709889"/>
  </r>
  <r>
    <s v="ORD100090"/>
    <x v="82"/>
    <x v="1"/>
    <x v="2"/>
    <x v="7"/>
    <x v="9"/>
    <n v="7"/>
    <n v="550.30999999999995"/>
    <n v="0.2"/>
    <n v="72.05"/>
    <n v="0.1309262052297796"/>
  </r>
  <r>
    <s v="ORD100091"/>
    <x v="83"/>
    <x v="0"/>
    <x v="1"/>
    <x v="7"/>
    <x v="9"/>
    <n v="6"/>
    <n v="2199.46"/>
    <n v="0"/>
    <n v="380.91"/>
    <n v="0.1731834177479927"/>
  </r>
  <r>
    <s v="ORD100092"/>
    <x v="84"/>
    <x v="2"/>
    <x v="2"/>
    <x v="0"/>
    <x v="10"/>
    <n v="5"/>
    <n v="4962.71"/>
    <n v="0.15"/>
    <n v="1231.82"/>
    <n v="0.24821518887865701"/>
  </r>
  <r>
    <s v="ORD100093"/>
    <x v="85"/>
    <x v="3"/>
    <x v="1"/>
    <x v="0"/>
    <x v="3"/>
    <n v="5"/>
    <n v="3439.13"/>
    <n v="0.15"/>
    <n v="725.52"/>
    <n v="0.21096033008348039"/>
  </r>
  <r>
    <s v="ORD100094"/>
    <x v="86"/>
    <x v="2"/>
    <x v="2"/>
    <x v="3"/>
    <x v="17"/>
    <n v="8"/>
    <n v="4702.9399999999996"/>
    <n v="0.15"/>
    <n v="455.04"/>
    <n v="9.67564969997491E-2"/>
  </r>
  <r>
    <s v="ORD100095"/>
    <x v="53"/>
    <x v="1"/>
    <x v="1"/>
    <x v="0"/>
    <x v="2"/>
    <n v="1"/>
    <n v="749.9"/>
    <n v="0.2"/>
    <n v="61.79"/>
    <n v="8.2397653020402722E-2"/>
  </r>
  <r>
    <s v="ORD100096"/>
    <x v="87"/>
    <x v="0"/>
    <x v="0"/>
    <x v="2"/>
    <x v="19"/>
    <n v="1"/>
    <n v="4488.63"/>
    <n v="0.1"/>
    <n v="708.56"/>
    <n v="0.1578566288600308"/>
  </r>
  <r>
    <s v="ORD100097"/>
    <x v="88"/>
    <x v="2"/>
    <x v="0"/>
    <x v="7"/>
    <x v="9"/>
    <n v="1"/>
    <n v="1928.84"/>
    <n v="0.05"/>
    <n v="210.42"/>
    <n v="0.1090914746687128"/>
  </r>
  <r>
    <s v="ORD100098"/>
    <x v="89"/>
    <x v="3"/>
    <x v="2"/>
    <x v="2"/>
    <x v="18"/>
    <n v="8"/>
    <n v="4660.95"/>
    <n v="0.2"/>
    <n v="267.39999999999998"/>
    <n v="5.7370278591274311E-2"/>
  </r>
  <r>
    <s v="ORD100099"/>
    <x v="90"/>
    <x v="0"/>
    <x v="2"/>
    <x v="0"/>
    <x v="7"/>
    <n v="8"/>
    <n v="1137.68"/>
    <n v="0"/>
    <n v="111.67"/>
    <n v="9.8155896209830534E-2"/>
  </r>
  <r>
    <s v="ORD100100"/>
    <x v="91"/>
    <x v="3"/>
    <x v="2"/>
    <x v="0"/>
    <x v="0"/>
    <n v="5"/>
    <n v="3831.41"/>
    <n v="0.1"/>
    <n v="304.27999999999997"/>
    <n v="7.9417238040303692E-2"/>
  </r>
  <r>
    <s v="ORD100101"/>
    <x v="92"/>
    <x v="3"/>
    <x v="1"/>
    <x v="6"/>
    <x v="10"/>
    <n v="5"/>
    <n v="3012.06"/>
    <n v="0.2"/>
    <n v="510.11"/>
    <n v="0.169355856125044"/>
  </r>
  <r>
    <s v="ORD100102"/>
    <x v="93"/>
    <x v="2"/>
    <x v="1"/>
    <x v="5"/>
    <x v="19"/>
    <n v="1"/>
    <n v="2545.61"/>
    <n v="0.05"/>
    <n v="336.62"/>
    <n v="0.1322354956179462"/>
  </r>
  <r>
    <s v="ORD100103"/>
    <x v="27"/>
    <x v="3"/>
    <x v="2"/>
    <x v="7"/>
    <x v="6"/>
    <n v="3"/>
    <n v="3947.04"/>
    <n v="0.15"/>
    <n v="940.16"/>
    <n v="0.23819368438120719"/>
  </r>
  <r>
    <s v="ORD100104"/>
    <x v="94"/>
    <x v="0"/>
    <x v="1"/>
    <x v="7"/>
    <x v="15"/>
    <n v="10"/>
    <n v="1306.42"/>
    <n v="0.05"/>
    <n v="75.760000000000005"/>
    <n v="5.7990539030327151E-2"/>
  </r>
  <r>
    <s v="ORD100105"/>
    <x v="95"/>
    <x v="3"/>
    <x v="2"/>
    <x v="7"/>
    <x v="8"/>
    <n v="3"/>
    <n v="4771.6899999999996"/>
    <n v="0.15"/>
    <n v="1297.29"/>
    <n v="0.2718722297550763"/>
  </r>
  <r>
    <s v="ORD100106"/>
    <x v="96"/>
    <x v="0"/>
    <x v="1"/>
    <x v="6"/>
    <x v="11"/>
    <n v="5"/>
    <n v="353.03"/>
    <n v="0.2"/>
    <n v="83.03"/>
    <n v="0.2351924765600657"/>
  </r>
  <r>
    <s v="ORD100107"/>
    <x v="97"/>
    <x v="1"/>
    <x v="1"/>
    <x v="1"/>
    <x v="2"/>
    <n v="8"/>
    <n v="1330.44"/>
    <n v="0.1"/>
    <n v="241.97"/>
    <n v="0.1818721625928264"/>
  </r>
  <r>
    <s v="ORD100108"/>
    <x v="98"/>
    <x v="2"/>
    <x v="2"/>
    <x v="5"/>
    <x v="3"/>
    <n v="7"/>
    <n v="2700.62"/>
    <n v="0.2"/>
    <n v="251.76"/>
    <n v="9.3223037672830689E-2"/>
  </r>
  <r>
    <s v="ORD100109"/>
    <x v="99"/>
    <x v="1"/>
    <x v="0"/>
    <x v="1"/>
    <x v="19"/>
    <n v="7"/>
    <n v="4529.0600000000004"/>
    <n v="0.1"/>
    <n v="315.89"/>
    <n v="6.9747364795343839E-2"/>
  </r>
  <r>
    <s v="ORD100110"/>
    <x v="100"/>
    <x v="3"/>
    <x v="2"/>
    <x v="6"/>
    <x v="9"/>
    <n v="7"/>
    <n v="4373.3500000000004"/>
    <n v="0.05"/>
    <n v="941.32"/>
    <n v="0.21524003338401909"/>
  </r>
  <r>
    <s v="ORD100111"/>
    <x v="101"/>
    <x v="0"/>
    <x v="2"/>
    <x v="2"/>
    <x v="10"/>
    <n v="5"/>
    <n v="3624.5"/>
    <n v="0"/>
    <n v="709.03"/>
    <n v="0.1956214650296593"/>
  </r>
  <r>
    <s v="ORD100112"/>
    <x v="102"/>
    <x v="2"/>
    <x v="2"/>
    <x v="5"/>
    <x v="5"/>
    <n v="1"/>
    <n v="2566.2800000000002"/>
    <n v="0"/>
    <n v="163.37"/>
    <n v="6.3660239724426013E-2"/>
  </r>
  <r>
    <s v="ORD100113"/>
    <x v="103"/>
    <x v="2"/>
    <x v="0"/>
    <x v="5"/>
    <x v="11"/>
    <n v="8"/>
    <n v="1491.01"/>
    <n v="0.15"/>
    <n v="348.63"/>
    <n v="0.23382136940731449"/>
  </r>
  <r>
    <s v="ORD100114"/>
    <x v="104"/>
    <x v="0"/>
    <x v="2"/>
    <x v="1"/>
    <x v="19"/>
    <n v="3"/>
    <n v="4517.12"/>
    <n v="0.2"/>
    <n v="1066.48"/>
    <n v="0.23609733635590821"/>
  </r>
  <r>
    <s v="ORD100115"/>
    <x v="105"/>
    <x v="1"/>
    <x v="2"/>
    <x v="0"/>
    <x v="16"/>
    <n v="4"/>
    <n v="1701.65"/>
    <n v="0"/>
    <n v="111.96"/>
    <n v="6.5794963711691593E-2"/>
  </r>
  <r>
    <s v="ORD100116"/>
    <x v="106"/>
    <x v="1"/>
    <x v="0"/>
    <x v="7"/>
    <x v="19"/>
    <n v="9"/>
    <n v="2489.25"/>
    <n v="0"/>
    <n v="484.64"/>
    <n v="0.19469318067691069"/>
  </r>
  <r>
    <s v="ORD100117"/>
    <x v="107"/>
    <x v="2"/>
    <x v="2"/>
    <x v="1"/>
    <x v="11"/>
    <n v="10"/>
    <n v="4781.78"/>
    <n v="0.2"/>
    <n v="1014.51"/>
    <n v="0.21216157999740681"/>
  </r>
  <r>
    <s v="ORD100118"/>
    <x v="108"/>
    <x v="3"/>
    <x v="0"/>
    <x v="4"/>
    <x v="0"/>
    <n v="7"/>
    <n v="307.89"/>
    <n v="0.15"/>
    <n v="52.87"/>
    <n v="0.17171717171717171"/>
  </r>
  <r>
    <s v="ORD100119"/>
    <x v="109"/>
    <x v="0"/>
    <x v="0"/>
    <x v="7"/>
    <x v="1"/>
    <n v="2"/>
    <n v="4003.29"/>
    <n v="0.05"/>
    <n v="213.49"/>
    <n v="5.3328637195906373E-2"/>
  </r>
  <r>
    <s v="ORD100120"/>
    <x v="110"/>
    <x v="2"/>
    <x v="1"/>
    <x v="6"/>
    <x v="12"/>
    <n v="8"/>
    <n v="3658.04"/>
    <n v="0"/>
    <n v="233.85"/>
    <n v="6.3927677116707313E-2"/>
  </r>
  <r>
    <s v="ORD100121"/>
    <x v="111"/>
    <x v="3"/>
    <x v="2"/>
    <x v="5"/>
    <x v="6"/>
    <n v="6"/>
    <n v="3971.89"/>
    <n v="0.1"/>
    <n v="393.18"/>
    <n v="9.8990656840949778E-2"/>
  </r>
  <r>
    <s v="ORD100122"/>
    <x v="112"/>
    <x v="3"/>
    <x v="2"/>
    <x v="0"/>
    <x v="0"/>
    <n v="9"/>
    <n v="4656.1000000000004"/>
    <n v="0"/>
    <n v="701.97"/>
    <n v="0.1507635145293271"/>
  </r>
  <r>
    <s v="ORD100123"/>
    <x v="113"/>
    <x v="0"/>
    <x v="2"/>
    <x v="4"/>
    <x v="3"/>
    <n v="1"/>
    <n v="3153.32"/>
    <n v="0.2"/>
    <n v="587.88"/>
    <n v="0.18643207793690461"/>
  </r>
  <r>
    <s v="ORD100124"/>
    <x v="114"/>
    <x v="2"/>
    <x v="0"/>
    <x v="3"/>
    <x v="8"/>
    <n v="5"/>
    <n v="4498.99"/>
    <n v="0.05"/>
    <n v="423.37"/>
    <n v="9.4103343194805955E-2"/>
  </r>
  <r>
    <s v="ORD100125"/>
    <x v="115"/>
    <x v="0"/>
    <x v="2"/>
    <x v="2"/>
    <x v="3"/>
    <n v="4"/>
    <n v="3854.65"/>
    <n v="0.2"/>
    <n v="634.58000000000004"/>
    <n v="0.16462713865072059"/>
  </r>
  <r>
    <s v="ORD100126"/>
    <x v="116"/>
    <x v="2"/>
    <x v="1"/>
    <x v="1"/>
    <x v="3"/>
    <n v="7"/>
    <n v="4687.99"/>
    <n v="0"/>
    <n v="569.57000000000005"/>
    <n v="0.121495566330133"/>
  </r>
  <r>
    <s v="ORD100127"/>
    <x v="67"/>
    <x v="3"/>
    <x v="2"/>
    <x v="5"/>
    <x v="18"/>
    <n v="1"/>
    <n v="4005.78"/>
    <n v="0.05"/>
    <n v="925.56"/>
    <n v="0.23105612390096311"/>
  </r>
  <r>
    <s v="ORD100128"/>
    <x v="44"/>
    <x v="0"/>
    <x v="2"/>
    <x v="0"/>
    <x v="6"/>
    <n v="8"/>
    <n v="3332.27"/>
    <n v="0.05"/>
    <n v="818.11"/>
    <n v="0.24551131811047719"/>
  </r>
  <r>
    <s v="ORD100129"/>
    <x v="117"/>
    <x v="3"/>
    <x v="2"/>
    <x v="6"/>
    <x v="5"/>
    <n v="6"/>
    <n v="1333.93"/>
    <n v="0"/>
    <n v="211.53"/>
    <n v="0.1585765369996926"/>
  </r>
  <r>
    <s v="ORD100130"/>
    <x v="63"/>
    <x v="2"/>
    <x v="1"/>
    <x v="6"/>
    <x v="13"/>
    <n v="7"/>
    <n v="2732.83"/>
    <n v="0.05"/>
    <n v="344.5"/>
    <n v="0.12605979881661139"/>
  </r>
  <r>
    <s v="ORD100131"/>
    <x v="118"/>
    <x v="0"/>
    <x v="2"/>
    <x v="5"/>
    <x v="17"/>
    <n v="7"/>
    <n v="2252.37"/>
    <n v="0.2"/>
    <n v="324.07"/>
    <n v="0.14387955797670901"/>
  </r>
  <r>
    <s v="ORD100132"/>
    <x v="119"/>
    <x v="2"/>
    <x v="0"/>
    <x v="7"/>
    <x v="3"/>
    <n v="5"/>
    <n v="1962.37"/>
    <n v="0.05"/>
    <n v="214.02"/>
    <n v="0.109062001559339"/>
  </r>
  <r>
    <s v="ORD100133"/>
    <x v="120"/>
    <x v="2"/>
    <x v="2"/>
    <x v="1"/>
    <x v="12"/>
    <n v="6"/>
    <n v="647.57000000000005"/>
    <n v="0.15"/>
    <n v="176.27"/>
    <n v="0.27220223296323182"/>
  </r>
  <r>
    <s v="ORD100134"/>
    <x v="121"/>
    <x v="2"/>
    <x v="1"/>
    <x v="7"/>
    <x v="2"/>
    <n v="2"/>
    <n v="574.95000000000005"/>
    <n v="0.05"/>
    <n v="37.229999999999997"/>
    <n v="6.475345682233237E-2"/>
  </r>
  <r>
    <s v="ORD100135"/>
    <x v="122"/>
    <x v="1"/>
    <x v="2"/>
    <x v="0"/>
    <x v="3"/>
    <n v="10"/>
    <n v="3326.62"/>
    <n v="0.1"/>
    <n v="453.4"/>
    <n v="0.13629449711719399"/>
  </r>
  <r>
    <s v="ORD100136"/>
    <x v="123"/>
    <x v="0"/>
    <x v="2"/>
    <x v="6"/>
    <x v="2"/>
    <n v="9"/>
    <n v="1531.63"/>
    <n v="0.1"/>
    <n v="185.64"/>
    <n v="0.12120420728243771"/>
  </r>
  <r>
    <s v="ORD100137"/>
    <x v="12"/>
    <x v="1"/>
    <x v="2"/>
    <x v="6"/>
    <x v="19"/>
    <n v="1"/>
    <n v="1824.33"/>
    <n v="0"/>
    <n v="428.49"/>
    <n v="0.23487526927694011"/>
  </r>
  <r>
    <s v="ORD100138"/>
    <x v="124"/>
    <x v="1"/>
    <x v="0"/>
    <x v="3"/>
    <x v="14"/>
    <n v="10"/>
    <n v="3410.51"/>
    <n v="0"/>
    <n v="339.48"/>
    <n v="9.9539365080295913E-2"/>
  </r>
  <r>
    <s v="ORD100139"/>
    <x v="68"/>
    <x v="1"/>
    <x v="0"/>
    <x v="6"/>
    <x v="9"/>
    <n v="10"/>
    <n v="3185.29"/>
    <n v="0"/>
    <n v="740.93"/>
    <n v="0.232609903650845"/>
  </r>
  <r>
    <s v="ORD100140"/>
    <x v="125"/>
    <x v="0"/>
    <x v="2"/>
    <x v="1"/>
    <x v="14"/>
    <n v="2"/>
    <n v="1098.21"/>
    <n v="0"/>
    <n v="97.88"/>
    <n v="8.912685187714553E-2"/>
  </r>
  <r>
    <s v="ORD100141"/>
    <x v="112"/>
    <x v="1"/>
    <x v="0"/>
    <x v="3"/>
    <x v="5"/>
    <n v="8"/>
    <n v="1504.08"/>
    <n v="0"/>
    <n v="113.31"/>
    <n v="7.5335088559119204E-2"/>
  </r>
  <r>
    <s v="ORD100142"/>
    <x v="126"/>
    <x v="3"/>
    <x v="2"/>
    <x v="1"/>
    <x v="7"/>
    <n v="4"/>
    <n v="1615.41"/>
    <n v="0.15"/>
    <n v="464.85"/>
    <n v="0.28775976377514068"/>
  </r>
  <r>
    <s v="ORD100143"/>
    <x v="127"/>
    <x v="3"/>
    <x v="0"/>
    <x v="5"/>
    <x v="16"/>
    <n v="1"/>
    <n v="1780.37"/>
    <n v="0.05"/>
    <n v="191.78"/>
    <n v="0.1077191819677932"/>
  </r>
  <r>
    <s v="ORD100144"/>
    <x v="128"/>
    <x v="1"/>
    <x v="0"/>
    <x v="3"/>
    <x v="16"/>
    <n v="1"/>
    <n v="2029.62"/>
    <n v="0.05"/>
    <n v="590.49"/>
    <n v="0.29093623436899518"/>
  </r>
  <r>
    <s v="ORD100145"/>
    <x v="129"/>
    <x v="3"/>
    <x v="0"/>
    <x v="2"/>
    <x v="8"/>
    <n v="3"/>
    <n v="1547.25"/>
    <n v="0"/>
    <n v="82.28"/>
    <n v="5.3178219421554367E-2"/>
  </r>
  <r>
    <s v="ORD100146"/>
    <x v="130"/>
    <x v="0"/>
    <x v="1"/>
    <x v="7"/>
    <x v="7"/>
    <n v="3"/>
    <n v="3587.3"/>
    <n v="0.2"/>
    <n v="681.58"/>
    <n v="0.18999804867170289"/>
  </r>
  <r>
    <s v="ORD100147"/>
    <x v="131"/>
    <x v="1"/>
    <x v="2"/>
    <x v="3"/>
    <x v="0"/>
    <n v="6"/>
    <n v="3044.05"/>
    <n v="0.15"/>
    <n v="849.27"/>
    <n v="0.27899344623117228"/>
  </r>
  <r>
    <s v="ORD100148"/>
    <x v="132"/>
    <x v="2"/>
    <x v="0"/>
    <x v="5"/>
    <x v="0"/>
    <n v="3"/>
    <n v="3717.27"/>
    <n v="0.05"/>
    <n v="789.93"/>
    <n v="0.21250272377309151"/>
  </r>
  <r>
    <s v="ORD100149"/>
    <x v="133"/>
    <x v="1"/>
    <x v="2"/>
    <x v="1"/>
    <x v="6"/>
    <n v="9"/>
    <n v="1169.97"/>
    <n v="0.15"/>
    <n v="271.56"/>
    <n v="0.23210851560296419"/>
  </r>
  <r>
    <s v="ORD100150"/>
    <x v="134"/>
    <x v="1"/>
    <x v="0"/>
    <x v="0"/>
    <x v="18"/>
    <n v="5"/>
    <n v="2137.9299999999998"/>
    <n v="0"/>
    <n v="277.89"/>
    <n v="0.12998086934558201"/>
  </r>
  <r>
    <s v="ORD100151"/>
    <x v="135"/>
    <x v="0"/>
    <x v="0"/>
    <x v="7"/>
    <x v="19"/>
    <n v="2"/>
    <n v="569.61"/>
    <n v="0.15"/>
    <n v="135.32"/>
    <n v="0.23756605396674921"/>
  </r>
  <r>
    <s v="ORD100152"/>
    <x v="63"/>
    <x v="1"/>
    <x v="0"/>
    <x v="6"/>
    <x v="2"/>
    <n v="7"/>
    <n v="3848.36"/>
    <n v="0.05"/>
    <n v="725.17"/>
    <n v="0.18843611304555699"/>
  </r>
  <r>
    <s v="ORD100153"/>
    <x v="136"/>
    <x v="3"/>
    <x v="1"/>
    <x v="1"/>
    <x v="2"/>
    <n v="8"/>
    <n v="3203.73"/>
    <n v="0.2"/>
    <n v="199.85"/>
    <n v="6.2380412831293523E-2"/>
  </r>
  <r>
    <s v="ORD100154"/>
    <x v="137"/>
    <x v="2"/>
    <x v="1"/>
    <x v="2"/>
    <x v="7"/>
    <n v="9"/>
    <n v="1052.43"/>
    <n v="0.15"/>
    <n v="111.62"/>
    <n v="0.10605931035793351"/>
  </r>
  <r>
    <s v="ORD100155"/>
    <x v="138"/>
    <x v="0"/>
    <x v="0"/>
    <x v="1"/>
    <x v="6"/>
    <n v="4"/>
    <n v="3169.85"/>
    <n v="0.05"/>
    <n v="729.31"/>
    <n v="0.23007713298736529"/>
  </r>
  <r>
    <s v="ORD100156"/>
    <x v="139"/>
    <x v="0"/>
    <x v="2"/>
    <x v="4"/>
    <x v="5"/>
    <n v="3"/>
    <n v="4522.95"/>
    <n v="0.05"/>
    <n v="910.26"/>
    <n v="0.20125360660630781"/>
  </r>
  <r>
    <s v="ORD100157"/>
    <x v="140"/>
    <x v="1"/>
    <x v="2"/>
    <x v="6"/>
    <x v="19"/>
    <n v="10"/>
    <n v="661.45"/>
    <n v="0.15"/>
    <n v="61.62"/>
    <n v="9.3158968931892044E-2"/>
  </r>
  <r>
    <s v="ORD100158"/>
    <x v="139"/>
    <x v="2"/>
    <x v="0"/>
    <x v="6"/>
    <x v="0"/>
    <n v="10"/>
    <n v="4361.24"/>
    <n v="0.05"/>
    <n v="953.95"/>
    <n v="0.218733662903211"/>
  </r>
  <r>
    <s v="ORD100159"/>
    <x v="141"/>
    <x v="2"/>
    <x v="0"/>
    <x v="6"/>
    <x v="5"/>
    <n v="7"/>
    <n v="4849.16"/>
    <n v="0"/>
    <n v="939.84"/>
    <n v="0.19381501125968209"/>
  </r>
  <r>
    <s v="ORD100160"/>
    <x v="142"/>
    <x v="3"/>
    <x v="2"/>
    <x v="2"/>
    <x v="10"/>
    <n v="4"/>
    <n v="1587.78"/>
    <n v="0"/>
    <n v="404.72"/>
    <n v="0.25489677411228262"/>
  </r>
  <r>
    <s v="ORD100161"/>
    <x v="143"/>
    <x v="3"/>
    <x v="2"/>
    <x v="2"/>
    <x v="5"/>
    <n v="5"/>
    <n v="1460.99"/>
    <n v="0.05"/>
    <n v="205.74"/>
    <n v="0.14082231911238269"/>
  </r>
  <r>
    <s v="ORD100162"/>
    <x v="144"/>
    <x v="3"/>
    <x v="0"/>
    <x v="6"/>
    <x v="18"/>
    <n v="10"/>
    <n v="2513.5700000000002"/>
    <n v="0.05"/>
    <n v="703.51"/>
    <n v="0.27988478538493061"/>
  </r>
  <r>
    <s v="ORD100163"/>
    <x v="145"/>
    <x v="3"/>
    <x v="2"/>
    <x v="4"/>
    <x v="11"/>
    <n v="3"/>
    <n v="1761.42"/>
    <n v="0.15"/>
    <n v="415.11"/>
    <n v="0.23566781346867871"/>
  </r>
  <r>
    <s v="ORD100164"/>
    <x v="146"/>
    <x v="1"/>
    <x v="0"/>
    <x v="5"/>
    <x v="4"/>
    <n v="10"/>
    <n v="1209.4000000000001"/>
    <n v="0.15"/>
    <n v="211.65"/>
    <n v="0.17500413428146189"/>
  </r>
  <r>
    <s v="ORD100165"/>
    <x v="147"/>
    <x v="1"/>
    <x v="2"/>
    <x v="1"/>
    <x v="10"/>
    <n v="10"/>
    <n v="874.21"/>
    <n v="0.1"/>
    <n v="202.03"/>
    <n v="0.2311000789284039"/>
  </r>
  <r>
    <s v="ORD100166"/>
    <x v="148"/>
    <x v="0"/>
    <x v="0"/>
    <x v="1"/>
    <x v="11"/>
    <n v="4"/>
    <n v="3822.5"/>
    <n v="0.2"/>
    <n v="311.83999999999997"/>
    <n v="8.1580117724002615E-2"/>
  </r>
  <r>
    <s v="ORD100167"/>
    <x v="141"/>
    <x v="1"/>
    <x v="2"/>
    <x v="1"/>
    <x v="16"/>
    <n v="7"/>
    <n v="2737.41"/>
    <n v="0"/>
    <n v="795.3"/>
    <n v="0.29053009961971349"/>
  </r>
  <r>
    <s v="ORD100168"/>
    <x v="149"/>
    <x v="2"/>
    <x v="2"/>
    <x v="4"/>
    <x v="0"/>
    <n v="5"/>
    <n v="533.82000000000005"/>
    <n v="0.15"/>
    <n v="86.17"/>
    <n v="0.16142145292420659"/>
  </r>
  <r>
    <s v="ORD100169"/>
    <x v="150"/>
    <x v="3"/>
    <x v="0"/>
    <x v="6"/>
    <x v="7"/>
    <n v="8"/>
    <n v="1195.1199999999999"/>
    <n v="0.1"/>
    <n v="136.34"/>
    <n v="0.114080594417297"/>
  </r>
  <r>
    <s v="ORD100170"/>
    <x v="63"/>
    <x v="0"/>
    <x v="1"/>
    <x v="5"/>
    <x v="16"/>
    <n v="8"/>
    <n v="1911.89"/>
    <n v="0"/>
    <n v="270.16000000000003"/>
    <n v="0.141305200613006"/>
  </r>
  <r>
    <s v="ORD100171"/>
    <x v="151"/>
    <x v="2"/>
    <x v="0"/>
    <x v="3"/>
    <x v="10"/>
    <n v="6"/>
    <n v="3809.42"/>
    <n v="0.1"/>
    <n v="592.54"/>
    <n v="0.15554598862819011"/>
  </r>
  <r>
    <s v="ORD100172"/>
    <x v="152"/>
    <x v="0"/>
    <x v="0"/>
    <x v="4"/>
    <x v="2"/>
    <n v="6"/>
    <n v="4207.2299999999996"/>
    <n v="0.05"/>
    <n v="555.02"/>
    <n v="0.13192052728279649"/>
  </r>
  <r>
    <s v="ORD100173"/>
    <x v="153"/>
    <x v="1"/>
    <x v="1"/>
    <x v="4"/>
    <x v="0"/>
    <n v="4"/>
    <n v="3234.69"/>
    <n v="0.1"/>
    <n v="355.58"/>
    <n v="0.1099270718368684"/>
  </r>
  <r>
    <s v="ORD100174"/>
    <x v="154"/>
    <x v="0"/>
    <x v="1"/>
    <x v="6"/>
    <x v="8"/>
    <n v="1"/>
    <n v="4053.53"/>
    <n v="0.15"/>
    <n v="1139.1500000000001"/>
    <n v="0.28102666071300819"/>
  </r>
  <r>
    <s v="ORD100175"/>
    <x v="155"/>
    <x v="1"/>
    <x v="2"/>
    <x v="6"/>
    <x v="5"/>
    <n v="3"/>
    <n v="970.77"/>
    <n v="0.1"/>
    <n v="59.65"/>
    <n v="6.1446068584731707E-2"/>
  </r>
  <r>
    <s v="ORD100176"/>
    <x v="115"/>
    <x v="1"/>
    <x v="2"/>
    <x v="2"/>
    <x v="14"/>
    <n v="10"/>
    <n v="1344.53"/>
    <n v="0.1"/>
    <n v="333.19"/>
    <n v="0.2478115029043606"/>
  </r>
  <r>
    <s v="ORD100177"/>
    <x v="156"/>
    <x v="0"/>
    <x v="0"/>
    <x v="5"/>
    <x v="13"/>
    <n v="2"/>
    <n v="1447.59"/>
    <n v="0.05"/>
    <n v="189.85"/>
    <n v="0.13114901318743569"/>
  </r>
  <r>
    <s v="ORD100178"/>
    <x v="157"/>
    <x v="3"/>
    <x v="2"/>
    <x v="7"/>
    <x v="5"/>
    <n v="8"/>
    <n v="3547.54"/>
    <n v="0.1"/>
    <n v="573.12"/>
    <n v="0.1615542037580972"/>
  </r>
  <r>
    <s v="ORD100179"/>
    <x v="158"/>
    <x v="3"/>
    <x v="0"/>
    <x v="0"/>
    <x v="15"/>
    <n v="9"/>
    <n v="1151.83"/>
    <n v="0.15"/>
    <n v="90.25"/>
    <n v="7.8353576482640672E-2"/>
  </r>
  <r>
    <s v="ORD100180"/>
    <x v="159"/>
    <x v="3"/>
    <x v="2"/>
    <x v="7"/>
    <x v="4"/>
    <n v="7"/>
    <n v="3998.64"/>
    <n v="0.05"/>
    <n v="489.65"/>
    <n v="0.1224541344056979"/>
  </r>
  <r>
    <s v="ORD100181"/>
    <x v="160"/>
    <x v="3"/>
    <x v="0"/>
    <x v="6"/>
    <x v="7"/>
    <n v="2"/>
    <n v="448.73"/>
    <n v="0.1"/>
    <n v="96.86"/>
    <n v="0.21585363135961491"/>
  </r>
  <r>
    <s v="ORD100182"/>
    <x v="71"/>
    <x v="2"/>
    <x v="1"/>
    <x v="6"/>
    <x v="19"/>
    <n v="4"/>
    <n v="2237.84"/>
    <n v="0.05"/>
    <n v="235.78"/>
    <n v="0.1053605262217138"/>
  </r>
  <r>
    <s v="ORD100183"/>
    <x v="161"/>
    <x v="1"/>
    <x v="2"/>
    <x v="7"/>
    <x v="14"/>
    <n v="2"/>
    <n v="2315.61"/>
    <n v="0.05"/>
    <n v="384.93"/>
    <n v="0.16623265575809401"/>
  </r>
  <r>
    <s v="ORD100184"/>
    <x v="53"/>
    <x v="0"/>
    <x v="2"/>
    <x v="3"/>
    <x v="19"/>
    <n v="4"/>
    <n v="1982.26"/>
    <n v="0.2"/>
    <n v="292.45"/>
    <n v="0.14753362323812211"/>
  </r>
  <r>
    <s v="ORD100185"/>
    <x v="162"/>
    <x v="1"/>
    <x v="2"/>
    <x v="0"/>
    <x v="19"/>
    <n v="3"/>
    <n v="4173.76"/>
    <n v="0.15"/>
    <n v="723.59"/>
    <n v="0.173366460936901"/>
  </r>
  <r>
    <s v="ORD100186"/>
    <x v="163"/>
    <x v="2"/>
    <x v="2"/>
    <x v="6"/>
    <x v="15"/>
    <n v="9"/>
    <n v="3818.82"/>
    <n v="0"/>
    <n v="290.58999999999997"/>
    <n v="7.6094186162217636E-2"/>
  </r>
  <r>
    <s v="ORD100187"/>
    <x v="162"/>
    <x v="1"/>
    <x v="1"/>
    <x v="2"/>
    <x v="16"/>
    <n v="7"/>
    <n v="1568.54"/>
    <n v="0.15"/>
    <n v="125.47"/>
    <n v="7.9991584530837601E-2"/>
  </r>
  <r>
    <s v="ORD100188"/>
    <x v="164"/>
    <x v="1"/>
    <x v="0"/>
    <x v="3"/>
    <x v="12"/>
    <n v="1"/>
    <n v="2571.86"/>
    <n v="0.1"/>
    <n v="441.68"/>
    <n v="0.17173563102190631"/>
  </r>
  <r>
    <s v="ORD100189"/>
    <x v="165"/>
    <x v="3"/>
    <x v="0"/>
    <x v="1"/>
    <x v="3"/>
    <n v="2"/>
    <n v="3018.31"/>
    <n v="0.05"/>
    <n v="571.36"/>
    <n v="0.18929798463378511"/>
  </r>
  <r>
    <s v="ORD100190"/>
    <x v="166"/>
    <x v="2"/>
    <x v="1"/>
    <x v="2"/>
    <x v="2"/>
    <n v="1"/>
    <n v="4650.47"/>
    <n v="0.15"/>
    <n v="502.51"/>
    <n v="0.1080557449032033"/>
  </r>
  <r>
    <s v="ORD100191"/>
    <x v="167"/>
    <x v="3"/>
    <x v="2"/>
    <x v="4"/>
    <x v="8"/>
    <n v="7"/>
    <n v="620.6"/>
    <n v="0"/>
    <n v="104.34"/>
    <n v="0.1681276184337738"/>
  </r>
  <r>
    <s v="ORD100192"/>
    <x v="168"/>
    <x v="1"/>
    <x v="1"/>
    <x v="5"/>
    <x v="2"/>
    <n v="5"/>
    <n v="3776.87"/>
    <n v="0.05"/>
    <n v="1085.56"/>
    <n v="0.28742318374738868"/>
  </r>
  <r>
    <s v="ORD100193"/>
    <x v="169"/>
    <x v="0"/>
    <x v="1"/>
    <x v="7"/>
    <x v="16"/>
    <n v="2"/>
    <n v="772.13"/>
    <n v="0.05"/>
    <n v="220.63"/>
    <n v="0.28574203825780631"/>
  </r>
  <r>
    <s v="ORD100194"/>
    <x v="170"/>
    <x v="0"/>
    <x v="0"/>
    <x v="6"/>
    <x v="13"/>
    <n v="6"/>
    <n v="212.3"/>
    <n v="0.15"/>
    <n v="40.479999999999997"/>
    <n v="0.19067357512953359"/>
  </r>
  <r>
    <s v="ORD100195"/>
    <x v="171"/>
    <x v="3"/>
    <x v="1"/>
    <x v="1"/>
    <x v="1"/>
    <n v="8"/>
    <n v="3743.94"/>
    <n v="0.15"/>
    <n v="868.18"/>
    <n v="0.23188939993696481"/>
  </r>
  <r>
    <s v="ORD100196"/>
    <x v="172"/>
    <x v="0"/>
    <x v="1"/>
    <x v="6"/>
    <x v="5"/>
    <n v="5"/>
    <n v="1629.51"/>
    <n v="0.2"/>
    <n v="94.35"/>
    <n v="5.7900841357217812E-2"/>
  </r>
  <r>
    <s v="ORD100197"/>
    <x v="33"/>
    <x v="1"/>
    <x v="0"/>
    <x v="3"/>
    <x v="11"/>
    <n v="7"/>
    <n v="2527.5300000000002"/>
    <n v="0.05"/>
    <n v="468.87"/>
    <n v="0.18550521655529309"/>
  </r>
  <r>
    <s v="ORD100198"/>
    <x v="72"/>
    <x v="0"/>
    <x v="1"/>
    <x v="0"/>
    <x v="3"/>
    <n v="1"/>
    <n v="2188.38"/>
    <n v="0"/>
    <n v="505.39"/>
    <n v="0.2309425236933256"/>
  </r>
  <r>
    <s v="ORD100199"/>
    <x v="173"/>
    <x v="3"/>
    <x v="0"/>
    <x v="0"/>
    <x v="17"/>
    <n v="8"/>
    <n v="4198.3500000000004"/>
    <n v="0"/>
    <n v="612.16999999999996"/>
    <n v="0.14581204520823651"/>
  </r>
  <r>
    <s v="ORD100200"/>
    <x v="165"/>
    <x v="1"/>
    <x v="1"/>
    <x v="5"/>
    <x v="1"/>
    <n v="6"/>
    <n v="3157.23"/>
    <n v="0.2"/>
    <n v="941.3"/>
    <n v="0.29814109203320632"/>
  </r>
  <r>
    <s v="ORD100201"/>
    <x v="174"/>
    <x v="0"/>
    <x v="1"/>
    <x v="2"/>
    <x v="14"/>
    <n v="6"/>
    <n v="4069.13"/>
    <n v="0.2"/>
    <n v="374.49"/>
    <n v="9.2031957691201802E-2"/>
  </r>
  <r>
    <s v="ORD100202"/>
    <x v="175"/>
    <x v="2"/>
    <x v="2"/>
    <x v="6"/>
    <x v="0"/>
    <n v="9"/>
    <n v="1629.4"/>
    <n v="0"/>
    <n v="129.06"/>
    <n v="7.920707008714864E-2"/>
  </r>
  <r>
    <s v="ORD100203"/>
    <x v="176"/>
    <x v="1"/>
    <x v="1"/>
    <x v="2"/>
    <x v="13"/>
    <n v="2"/>
    <n v="1206.6199999999999"/>
    <n v="0.05"/>
    <n v="271.83999999999997"/>
    <n v="0.22529048084732561"/>
  </r>
  <r>
    <s v="ORD100204"/>
    <x v="52"/>
    <x v="2"/>
    <x v="1"/>
    <x v="4"/>
    <x v="1"/>
    <n v="7"/>
    <n v="3853.16"/>
    <n v="0.1"/>
    <n v="1103.04"/>
    <n v="0.28626893251253521"/>
  </r>
  <r>
    <s v="ORD100205"/>
    <x v="177"/>
    <x v="1"/>
    <x v="2"/>
    <x v="3"/>
    <x v="1"/>
    <n v="4"/>
    <n v="726.99"/>
    <n v="0.15"/>
    <n v="187.34"/>
    <n v="0.25769267802858359"/>
  </r>
  <r>
    <s v="ORD100206"/>
    <x v="159"/>
    <x v="3"/>
    <x v="0"/>
    <x v="0"/>
    <x v="0"/>
    <n v="5"/>
    <n v="3910.33"/>
    <n v="0.2"/>
    <n v="678.44"/>
    <n v="0.17349942332232829"/>
  </r>
  <r>
    <s v="ORD100207"/>
    <x v="150"/>
    <x v="0"/>
    <x v="2"/>
    <x v="2"/>
    <x v="0"/>
    <n v="4"/>
    <n v="1002.38"/>
    <n v="0"/>
    <n v="85.8"/>
    <n v="8.5596280851573253E-2"/>
  </r>
  <r>
    <s v="ORD100208"/>
    <x v="84"/>
    <x v="2"/>
    <x v="2"/>
    <x v="2"/>
    <x v="6"/>
    <n v="4"/>
    <n v="839.23"/>
    <n v="0.2"/>
    <n v="172.17"/>
    <n v="0.20515234202781121"/>
  </r>
  <r>
    <s v="ORD100209"/>
    <x v="178"/>
    <x v="2"/>
    <x v="0"/>
    <x v="2"/>
    <x v="10"/>
    <n v="3"/>
    <n v="4077.82"/>
    <n v="0"/>
    <n v="1065.4000000000001"/>
    <n v="0.26126704955098562"/>
  </r>
  <r>
    <s v="ORD100210"/>
    <x v="22"/>
    <x v="0"/>
    <x v="2"/>
    <x v="2"/>
    <x v="16"/>
    <n v="8"/>
    <n v="3576.53"/>
    <n v="0.05"/>
    <n v="1004.97"/>
    <n v="0.2809902335503966"/>
  </r>
  <r>
    <s v="ORD100211"/>
    <x v="175"/>
    <x v="0"/>
    <x v="1"/>
    <x v="0"/>
    <x v="19"/>
    <n v="1"/>
    <n v="4509.21"/>
    <n v="0.2"/>
    <n v="365.76"/>
    <n v="8.1113986707205918E-2"/>
  </r>
  <r>
    <s v="ORD100212"/>
    <x v="179"/>
    <x v="3"/>
    <x v="0"/>
    <x v="0"/>
    <x v="8"/>
    <n v="8"/>
    <n v="4553.24"/>
    <n v="0.1"/>
    <n v="1145.26"/>
    <n v="0.25152638560673279"/>
  </r>
  <r>
    <s v="ORD100213"/>
    <x v="136"/>
    <x v="2"/>
    <x v="2"/>
    <x v="7"/>
    <x v="15"/>
    <n v="8"/>
    <n v="2420.5700000000002"/>
    <n v="0.05"/>
    <n v="546.89"/>
    <n v="0.22593438735504451"/>
  </r>
  <r>
    <s v="ORD100214"/>
    <x v="180"/>
    <x v="1"/>
    <x v="0"/>
    <x v="2"/>
    <x v="10"/>
    <n v="7"/>
    <n v="1931.57"/>
    <n v="0"/>
    <n v="415.06"/>
    <n v="0.21488219427719421"/>
  </r>
  <r>
    <s v="ORD100215"/>
    <x v="181"/>
    <x v="1"/>
    <x v="2"/>
    <x v="5"/>
    <x v="9"/>
    <n v="7"/>
    <n v="775.5"/>
    <n v="0.05"/>
    <n v="143.35"/>
    <n v="0.18484848484848479"/>
  </r>
  <r>
    <s v="ORD100216"/>
    <x v="182"/>
    <x v="2"/>
    <x v="2"/>
    <x v="7"/>
    <x v="6"/>
    <n v="4"/>
    <n v="3912.06"/>
    <n v="0.1"/>
    <n v="780.72"/>
    <n v="0.19956749129614579"/>
  </r>
  <r>
    <s v="ORD100217"/>
    <x v="75"/>
    <x v="1"/>
    <x v="0"/>
    <x v="3"/>
    <x v="16"/>
    <n v="7"/>
    <n v="3777.55"/>
    <n v="0"/>
    <n v="757.1"/>
    <n v="0.20042090773120139"/>
  </r>
  <r>
    <s v="ORD100218"/>
    <x v="183"/>
    <x v="1"/>
    <x v="2"/>
    <x v="7"/>
    <x v="13"/>
    <n v="7"/>
    <n v="3354.06"/>
    <n v="0.2"/>
    <n v="980.45"/>
    <n v="0.29231737058967339"/>
  </r>
  <r>
    <s v="ORD100219"/>
    <x v="124"/>
    <x v="3"/>
    <x v="2"/>
    <x v="6"/>
    <x v="10"/>
    <n v="8"/>
    <n v="2773.4"/>
    <n v="0.1"/>
    <n v="467.21"/>
    <n v="0.16846109468522391"/>
  </r>
  <r>
    <s v="ORD100220"/>
    <x v="76"/>
    <x v="2"/>
    <x v="0"/>
    <x v="6"/>
    <x v="17"/>
    <n v="2"/>
    <n v="3529.49"/>
    <n v="0.1"/>
    <n v="747.6"/>
    <n v="0.2118153047607445"/>
  </r>
  <r>
    <s v="ORD100221"/>
    <x v="184"/>
    <x v="3"/>
    <x v="1"/>
    <x v="6"/>
    <x v="17"/>
    <n v="10"/>
    <n v="701.37"/>
    <n v="0.1"/>
    <n v="146.84"/>
    <n v="0.2093616778590473"/>
  </r>
  <r>
    <s v="ORD100222"/>
    <x v="185"/>
    <x v="0"/>
    <x v="1"/>
    <x v="1"/>
    <x v="9"/>
    <n v="2"/>
    <n v="217.12"/>
    <n v="0.15"/>
    <n v="35.9"/>
    <n v="0.16534635224760499"/>
  </r>
  <r>
    <s v="ORD100223"/>
    <x v="186"/>
    <x v="2"/>
    <x v="1"/>
    <x v="0"/>
    <x v="15"/>
    <n v="8"/>
    <n v="1051.71"/>
    <n v="0.15"/>
    <n v="144.83000000000001"/>
    <n v="0.1377090642857822"/>
  </r>
  <r>
    <s v="ORD100224"/>
    <x v="43"/>
    <x v="2"/>
    <x v="0"/>
    <x v="3"/>
    <x v="12"/>
    <n v="2"/>
    <n v="4159.01"/>
    <n v="0.05"/>
    <n v="1113.73"/>
    <n v="0.26778728591660028"/>
  </r>
  <r>
    <s v="ORD100225"/>
    <x v="187"/>
    <x v="2"/>
    <x v="1"/>
    <x v="4"/>
    <x v="17"/>
    <n v="4"/>
    <n v="2997.69"/>
    <n v="0.2"/>
    <n v="581.44000000000005"/>
    <n v="0.19396268460047569"/>
  </r>
  <r>
    <s v="ORD100226"/>
    <x v="188"/>
    <x v="0"/>
    <x v="1"/>
    <x v="7"/>
    <x v="9"/>
    <n v="9"/>
    <n v="175.95"/>
    <n v="0.2"/>
    <n v="41.88"/>
    <n v="0.23802216538789431"/>
  </r>
  <r>
    <s v="ORD100227"/>
    <x v="189"/>
    <x v="3"/>
    <x v="1"/>
    <x v="5"/>
    <x v="12"/>
    <n v="2"/>
    <n v="958.94"/>
    <n v="0.15"/>
    <n v="61.11"/>
    <n v="6.3726614803845907E-2"/>
  </r>
  <r>
    <s v="ORD100228"/>
    <x v="190"/>
    <x v="1"/>
    <x v="0"/>
    <x v="4"/>
    <x v="12"/>
    <n v="3"/>
    <n v="2852.51"/>
    <n v="0.1"/>
    <n v="707.85"/>
    <n v="0.2481498750223487"/>
  </r>
  <r>
    <s v="ORD100229"/>
    <x v="191"/>
    <x v="2"/>
    <x v="2"/>
    <x v="2"/>
    <x v="6"/>
    <n v="3"/>
    <n v="3089.61"/>
    <n v="0.15"/>
    <n v="600.5"/>
    <n v="0.19436110059198411"/>
  </r>
  <r>
    <s v="ORD100230"/>
    <x v="192"/>
    <x v="0"/>
    <x v="1"/>
    <x v="7"/>
    <x v="1"/>
    <n v="10"/>
    <n v="2717.21"/>
    <n v="0.05"/>
    <n v="614.38"/>
    <n v="0.226106925854093"/>
  </r>
  <r>
    <s v="ORD100231"/>
    <x v="193"/>
    <x v="1"/>
    <x v="1"/>
    <x v="3"/>
    <x v="14"/>
    <n v="4"/>
    <n v="3339.4"/>
    <n v="0"/>
    <n v="774.46"/>
    <n v="0.23191591303827039"/>
  </r>
  <r>
    <s v="ORD100232"/>
    <x v="156"/>
    <x v="2"/>
    <x v="1"/>
    <x v="0"/>
    <x v="9"/>
    <n v="9"/>
    <n v="2285.12"/>
    <n v="0.2"/>
    <n v="218.64"/>
    <n v="9.5679876767959665E-2"/>
  </r>
  <r>
    <s v="ORD100233"/>
    <x v="194"/>
    <x v="1"/>
    <x v="1"/>
    <x v="0"/>
    <x v="10"/>
    <n v="2"/>
    <n v="2131.06"/>
    <n v="0"/>
    <n v="260.14"/>
    <n v="0.12207070659671709"/>
  </r>
  <r>
    <s v="ORD100234"/>
    <x v="149"/>
    <x v="2"/>
    <x v="0"/>
    <x v="5"/>
    <x v="2"/>
    <n v="6"/>
    <n v="4811.05"/>
    <n v="0"/>
    <n v="1341.4"/>
    <n v="0.27881647457415742"/>
  </r>
  <r>
    <s v="ORD100235"/>
    <x v="195"/>
    <x v="2"/>
    <x v="1"/>
    <x v="5"/>
    <x v="16"/>
    <n v="6"/>
    <n v="430.86"/>
    <n v="0.05"/>
    <n v="48.03"/>
    <n v="0.1114747249686673"/>
  </r>
  <r>
    <s v="ORD100236"/>
    <x v="196"/>
    <x v="2"/>
    <x v="1"/>
    <x v="3"/>
    <x v="3"/>
    <n v="10"/>
    <n v="3831.99"/>
    <n v="0.15"/>
    <n v="795.95"/>
    <n v="0.20771191991628371"/>
  </r>
  <r>
    <s v="ORD100237"/>
    <x v="197"/>
    <x v="1"/>
    <x v="0"/>
    <x v="3"/>
    <x v="10"/>
    <n v="6"/>
    <n v="2215.5300000000002"/>
    <n v="0.2"/>
    <n v="454.85"/>
    <n v="0.20530076324852289"/>
  </r>
  <r>
    <s v="ORD100238"/>
    <x v="198"/>
    <x v="3"/>
    <x v="0"/>
    <x v="0"/>
    <x v="8"/>
    <n v="2"/>
    <n v="1424.68"/>
    <n v="0"/>
    <n v="258.26"/>
    <n v="0.18127579526630541"/>
  </r>
  <r>
    <s v="ORD100239"/>
    <x v="199"/>
    <x v="1"/>
    <x v="0"/>
    <x v="6"/>
    <x v="17"/>
    <n v="1"/>
    <n v="132.22"/>
    <n v="0.1"/>
    <n v="8.18"/>
    <n v="6.18665859930419E-2"/>
  </r>
  <r>
    <s v="ORD100240"/>
    <x v="200"/>
    <x v="3"/>
    <x v="0"/>
    <x v="3"/>
    <x v="16"/>
    <n v="6"/>
    <n v="3854.24"/>
    <n v="0.2"/>
    <n v="945.97"/>
    <n v="0.2454361949437503"/>
  </r>
  <r>
    <s v="ORD100241"/>
    <x v="201"/>
    <x v="3"/>
    <x v="0"/>
    <x v="3"/>
    <x v="17"/>
    <n v="8"/>
    <n v="3811.15"/>
    <n v="0.15"/>
    <n v="670.31"/>
    <n v="0.17588129567190999"/>
  </r>
  <r>
    <s v="ORD100242"/>
    <x v="202"/>
    <x v="1"/>
    <x v="0"/>
    <x v="0"/>
    <x v="7"/>
    <n v="6"/>
    <n v="3074.1"/>
    <n v="0"/>
    <n v="842.87"/>
    <n v="0.27418431410819433"/>
  </r>
  <r>
    <s v="ORD100243"/>
    <x v="203"/>
    <x v="3"/>
    <x v="2"/>
    <x v="1"/>
    <x v="9"/>
    <n v="2"/>
    <n v="1941.83"/>
    <n v="0"/>
    <n v="172.6"/>
    <n v="8.8885226822121396E-2"/>
  </r>
  <r>
    <s v="ORD100244"/>
    <x v="204"/>
    <x v="2"/>
    <x v="2"/>
    <x v="6"/>
    <x v="3"/>
    <n v="2"/>
    <n v="3881.44"/>
    <n v="0.05"/>
    <n v="1160.45"/>
    <n v="0.29897409208953379"/>
  </r>
  <r>
    <s v="ORD100245"/>
    <x v="205"/>
    <x v="0"/>
    <x v="1"/>
    <x v="6"/>
    <x v="14"/>
    <n v="8"/>
    <n v="1299.1199999999999"/>
    <n v="0.1"/>
    <n v="117.39"/>
    <n v="9.0361167559578806E-2"/>
  </r>
  <r>
    <s v="ORD100246"/>
    <x v="206"/>
    <x v="2"/>
    <x v="0"/>
    <x v="1"/>
    <x v="10"/>
    <n v="10"/>
    <n v="3267.26"/>
    <n v="0.15"/>
    <n v="746.01"/>
    <n v="0.2283289361728176"/>
  </r>
  <r>
    <s v="ORD100247"/>
    <x v="207"/>
    <x v="0"/>
    <x v="2"/>
    <x v="1"/>
    <x v="9"/>
    <n v="8"/>
    <n v="701.38"/>
    <n v="0"/>
    <n v="201.21"/>
    <n v="0.28687729903903741"/>
  </r>
  <r>
    <s v="ORD100248"/>
    <x v="208"/>
    <x v="0"/>
    <x v="1"/>
    <x v="2"/>
    <x v="14"/>
    <n v="3"/>
    <n v="1178.54"/>
    <n v="0.05"/>
    <n v="343.07"/>
    <n v="0.29109745956861882"/>
  </r>
  <r>
    <s v="ORD100249"/>
    <x v="209"/>
    <x v="1"/>
    <x v="0"/>
    <x v="4"/>
    <x v="16"/>
    <n v="10"/>
    <n v="3332.24"/>
    <n v="0.2"/>
    <n v="504.69"/>
    <n v="0.15145667779031519"/>
  </r>
  <r>
    <s v="ORD100250"/>
    <x v="210"/>
    <x v="1"/>
    <x v="1"/>
    <x v="6"/>
    <x v="16"/>
    <n v="1"/>
    <n v="3764.93"/>
    <n v="0"/>
    <n v="823.04"/>
    <n v="0.21860698605286161"/>
  </r>
  <r>
    <s v="ORD100251"/>
    <x v="211"/>
    <x v="1"/>
    <x v="1"/>
    <x v="5"/>
    <x v="7"/>
    <n v="8"/>
    <n v="4721.6099999999997"/>
    <n v="0.05"/>
    <n v="553.46"/>
    <n v="0.11721849115026441"/>
  </r>
  <r>
    <s v="ORD100252"/>
    <x v="212"/>
    <x v="2"/>
    <x v="1"/>
    <x v="3"/>
    <x v="2"/>
    <n v="6"/>
    <n v="4466.58"/>
    <n v="0.2"/>
    <n v="954.39"/>
    <n v="0.21367354888975459"/>
  </r>
  <r>
    <s v="ORD100253"/>
    <x v="213"/>
    <x v="2"/>
    <x v="2"/>
    <x v="7"/>
    <x v="9"/>
    <n v="8"/>
    <n v="2948.44"/>
    <n v="0.15"/>
    <n v="356.94"/>
    <n v="0.121060628671433"/>
  </r>
  <r>
    <s v="ORD100254"/>
    <x v="214"/>
    <x v="2"/>
    <x v="2"/>
    <x v="3"/>
    <x v="8"/>
    <n v="10"/>
    <n v="3520.89"/>
    <n v="0.1"/>
    <n v="198.58"/>
    <n v="5.6400512370451787E-2"/>
  </r>
  <r>
    <s v="ORD100255"/>
    <x v="72"/>
    <x v="1"/>
    <x v="1"/>
    <x v="6"/>
    <x v="12"/>
    <n v="8"/>
    <n v="2512.4699999999998"/>
    <n v="0.2"/>
    <n v="360.26"/>
    <n v="0.14338877678141429"/>
  </r>
  <r>
    <s v="ORD100256"/>
    <x v="215"/>
    <x v="2"/>
    <x v="1"/>
    <x v="1"/>
    <x v="11"/>
    <n v="6"/>
    <n v="1286.1300000000001"/>
    <n v="0"/>
    <n v="107.77"/>
    <n v="8.3794017712050875E-2"/>
  </r>
  <r>
    <s v="ORD100257"/>
    <x v="69"/>
    <x v="2"/>
    <x v="1"/>
    <x v="4"/>
    <x v="15"/>
    <n v="6"/>
    <n v="4838.6899999999996"/>
    <n v="0.1"/>
    <n v="417.49"/>
    <n v="8.6281617545244688E-2"/>
  </r>
  <r>
    <s v="ORD100258"/>
    <x v="216"/>
    <x v="2"/>
    <x v="0"/>
    <x v="4"/>
    <x v="12"/>
    <n v="3"/>
    <n v="4584.68"/>
    <n v="0.15"/>
    <n v="412.05"/>
    <n v="8.9875411151923365E-2"/>
  </r>
  <r>
    <s v="ORD100259"/>
    <x v="217"/>
    <x v="1"/>
    <x v="0"/>
    <x v="6"/>
    <x v="3"/>
    <n v="6"/>
    <n v="3006.92"/>
    <n v="0.05"/>
    <n v="702.62"/>
    <n v="0.2336676732337408"/>
  </r>
  <r>
    <s v="ORD100260"/>
    <x v="218"/>
    <x v="0"/>
    <x v="1"/>
    <x v="7"/>
    <x v="3"/>
    <n v="7"/>
    <n v="3069.34"/>
    <n v="0.1"/>
    <n v="675.95"/>
    <n v="0.22022649820482579"/>
  </r>
  <r>
    <s v="ORD100261"/>
    <x v="219"/>
    <x v="3"/>
    <x v="0"/>
    <x v="3"/>
    <x v="3"/>
    <n v="2"/>
    <n v="4564.82"/>
    <n v="0.2"/>
    <n v="268.79000000000002"/>
    <n v="5.8882935143116273E-2"/>
  </r>
  <r>
    <s v="ORD100262"/>
    <x v="220"/>
    <x v="2"/>
    <x v="1"/>
    <x v="7"/>
    <x v="6"/>
    <n v="5"/>
    <n v="4895.04"/>
    <n v="0"/>
    <n v="1113.24"/>
    <n v="0.22742204353794859"/>
  </r>
  <r>
    <s v="ORD100263"/>
    <x v="221"/>
    <x v="1"/>
    <x v="0"/>
    <x v="7"/>
    <x v="2"/>
    <n v="8"/>
    <n v="2986.62"/>
    <n v="0"/>
    <n v="221.97"/>
    <n v="7.432147377302771E-2"/>
  </r>
  <r>
    <s v="ORD100264"/>
    <x v="222"/>
    <x v="3"/>
    <x v="0"/>
    <x v="2"/>
    <x v="16"/>
    <n v="1"/>
    <n v="2820.31"/>
    <n v="0"/>
    <n v="287.41000000000003"/>
    <n v="0.1019072371476895"/>
  </r>
  <r>
    <s v="ORD100265"/>
    <x v="223"/>
    <x v="1"/>
    <x v="1"/>
    <x v="4"/>
    <x v="1"/>
    <n v="7"/>
    <n v="555.54"/>
    <n v="0.05"/>
    <n v="42.81"/>
    <n v="7.7060157684415168E-2"/>
  </r>
  <r>
    <s v="ORD100266"/>
    <x v="176"/>
    <x v="3"/>
    <x v="0"/>
    <x v="2"/>
    <x v="18"/>
    <n v="9"/>
    <n v="3995.79"/>
    <n v="0"/>
    <n v="374.87"/>
    <n v="9.3816241594277983E-2"/>
  </r>
  <r>
    <s v="ORD100267"/>
    <x v="224"/>
    <x v="3"/>
    <x v="1"/>
    <x v="2"/>
    <x v="14"/>
    <n v="9"/>
    <n v="1105.44"/>
    <n v="0"/>
    <n v="299.76"/>
    <n v="0.271168041684759"/>
  </r>
  <r>
    <s v="ORD100268"/>
    <x v="160"/>
    <x v="2"/>
    <x v="1"/>
    <x v="3"/>
    <x v="13"/>
    <n v="3"/>
    <n v="3619.15"/>
    <n v="0"/>
    <n v="488.78"/>
    <n v="0.13505381097771571"/>
  </r>
  <r>
    <s v="ORD100269"/>
    <x v="225"/>
    <x v="3"/>
    <x v="1"/>
    <x v="3"/>
    <x v="13"/>
    <n v="6"/>
    <n v="4958.67"/>
    <n v="0.1"/>
    <n v="494.24"/>
    <n v="9.9671887824759456E-2"/>
  </r>
  <r>
    <s v="ORD100270"/>
    <x v="54"/>
    <x v="2"/>
    <x v="0"/>
    <x v="4"/>
    <x v="6"/>
    <n v="9"/>
    <n v="812.14"/>
    <n v="0.05"/>
    <n v="122.96"/>
    <n v="0.15140246755485509"/>
  </r>
  <r>
    <s v="ORD100271"/>
    <x v="226"/>
    <x v="1"/>
    <x v="0"/>
    <x v="1"/>
    <x v="4"/>
    <n v="4"/>
    <n v="1725.76"/>
    <n v="0.1"/>
    <n v="366.14"/>
    <n v="0.2121615983682551"/>
  </r>
  <r>
    <s v="ORD100272"/>
    <x v="227"/>
    <x v="0"/>
    <x v="1"/>
    <x v="6"/>
    <x v="9"/>
    <n v="8"/>
    <n v="3986.43"/>
    <n v="0.05"/>
    <n v="885.76"/>
    <n v="0.2221937924408556"/>
  </r>
  <r>
    <s v="ORD100273"/>
    <x v="179"/>
    <x v="0"/>
    <x v="2"/>
    <x v="5"/>
    <x v="9"/>
    <n v="3"/>
    <n v="578.29"/>
    <n v="0"/>
    <n v="97.9"/>
    <n v="0.16929222362482491"/>
  </r>
  <r>
    <s v="ORD100274"/>
    <x v="228"/>
    <x v="2"/>
    <x v="2"/>
    <x v="0"/>
    <x v="5"/>
    <n v="2"/>
    <n v="715.3"/>
    <n v="0"/>
    <n v="88.21"/>
    <n v="0.1233188871802041"/>
  </r>
  <r>
    <s v="ORD100275"/>
    <x v="229"/>
    <x v="2"/>
    <x v="2"/>
    <x v="1"/>
    <x v="19"/>
    <n v="8"/>
    <n v="1439.64"/>
    <n v="0.2"/>
    <n v="105.35"/>
    <n v="7.3178016726403811E-2"/>
  </r>
  <r>
    <s v="ORD100276"/>
    <x v="130"/>
    <x v="2"/>
    <x v="0"/>
    <x v="2"/>
    <x v="7"/>
    <n v="6"/>
    <n v="2930.52"/>
    <n v="0.2"/>
    <n v="634.29"/>
    <n v="0.21644281560951639"/>
  </r>
  <r>
    <s v="ORD100277"/>
    <x v="224"/>
    <x v="0"/>
    <x v="1"/>
    <x v="7"/>
    <x v="6"/>
    <n v="3"/>
    <n v="1573.79"/>
    <n v="0.1"/>
    <n v="101.35"/>
    <n v="6.4398680891351451E-2"/>
  </r>
  <r>
    <s v="ORD100278"/>
    <x v="230"/>
    <x v="2"/>
    <x v="0"/>
    <x v="3"/>
    <x v="16"/>
    <n v="4"/>
    <n v="3864.74"/>
    <n v="0.2"/>
    <n v="636.95000000000005"/>
    <n v="0.16481056940441019"/>
  </r>
  <r>
    <s v="ORD100279"/>
    <x v="128"/>
    <x v="2"/>
    <x v="1"/>
    <x v="3"/>
    <x v="4"/>
    <n v="7"/>
    <n v="200.02"/>
    <n v="0"/>
    <n v="24.33"/>
    <n v="0.1216378362163783"/>
  </r>
  <r>
    <s v="ORD100280"/>
    <x v="231"/>
    <x v="0"/>
    <x v="1"/>
    <x v="1"/>
    <x v="18"/>
    <n v="2"/>
    <n v="2646.91"/>
    <n v="0.1"/>
    <n v="147.4"/>
    <n v="5.5687575323679323E-2"/>
  </r>
  <r>
    <s v="ORD100281"/>
    <x v="232"/>
    <x v="1"/>
    <x v="2"/>
    <x v="6"/>
    <x v="12"/>
    <n v="8"/>
    <n v="4457.47"/>
    <n v="0.15"/>
    <n v="284.87"/>
    <n v="6.390845030925614E-2"/>
  </r>
  <r>
    <s v="ORD100282"/>
    <x v="233"/>
    <x v="1"/>
    <x v="1"/>
    <x v="6"/>
    <x v="5"/>
    <n v="1"/>
    <n v="4009.98"/>
    <n v="0.05"/>
    <n v="825.51"/>
    <n v="0.20586386964523509"/>
  </r>
  <r>
    <s v="ORD100283"/>
    <x v="234"/>
    <x v="1"/>
    <x v="2"/>
    <x v="0"/>
    <x v="14"/>
    <n v="1"/>
    <n v="603.96"/>
    <n v="0.2"/>
    <n v="112.12"/>
    <n v="0.18564143320749721"/>
  </r>
  <r>
    <s v="ORD100284"/>
    <x v="235"/>
    <x v="0"/>
    <x v="0"/>
    <x v="0"/>
    <x v="19"/>
    <n v="5"/>
    <n v="2382.13"/>
    <n v="0.05"/>
    <n v="404.81"/>
    <n v="0.1699361495804175"/>
  </r>
  <r>
    <s v="ORD100285"/>
    <x v="236"/>
    <x v="0"/>
    <x v="2"/>
    <x v="7"/>
    <x v="12"/>
    <n v="8"/>
    <n v="1793.37"/>
    <n v="0.1"/>
    <n v="186.28"/>
    <n v="0.1038714821815911"/>
  </r>
  <r>
    <s v="ORD100286"/>
    <x v="237"/>
    <x v="3"/>
    <x v="1"/>
    <x v="3"/>
    <x v="18"/>
    <n v="7"/>
    <n v="2163.29"/>
    <n v="0.1"/>
    <n v="341.86"/>
    <n v="0.15802781873905031"/>
  </r>
  <r>
    <s v="ORD100287"/>
    <x v="238"/>
    <x v="3"/>
    <x v="0"/>
    <x v="6"/>
    <x v="18"/>
    <n v="9"/>
    <n v="3297.47"/>
    <n v="0.15"/>
    <n v="820.25"/>
    <n v="0.2487513154024146"/>
  </r>
  <r>
    <s v="ORD100288"/>
    <x v="239"/>
    <x v="3"/>
    <x v="0"/>
    <x v="6"/>
    <x v="1"/>
    <n v="4"/>
    <n v="2710.9"/>
    <n v="0.05"/>
    <n v="150.80000000000001"/>
    <n v="5.562728245232211E-2"/>
  </r>
  <r>
    <s v="ORD100289"/>
    <x v="240"/>
    <x v="3"/>
    <x v="2"/>
    <x v="0"/>
    <x v="17"/>
    <n v="3"/>
    <n v="2099.86"/>
    <n v="0.1"/>
    <n v="297.17"/>
    <n v="0.14151895840675091"/>
  </r>
  <r>
    <s v="ORD100290"/>
    <x v="241"/>
    <x v="2"/>
    <x v="1"/>
    <x v="3"/>
    <x v="9"/>
    <n v="2"/>
    <n v="900.57"/>
    <n v="0.05"/>
    <n v="108.31"/>
    <n v="0.1202682745372375"/>
  </r>
  <r>
    <s v="ORD100291"/>
    <x v="242"/>
    <x v="3"/>
    <x v="2"/>
    <x v="1"/>
    <x v="5"/>
    <n v="6"/>
    <n v="3969.09"/>
    <n v="0.1"/>
    <n v="1178.42"/>
    <n v="0.29689928925773917"/>
  </r>
  <r>
    <s v="ORD100292"/>
    <x v="243"/>
    <x v="3"/>
    <x v="0"/>
    <x v="5"/>
    <x v="18"/>
    <n v="3"/>
    <n v="103.17"/>
    <n v="0.05"/>
    <n v="12.3"/>
    <n v="0.119220703692934"/>
  </r>
  <r>
    <s v="ORD100293"/>
    <x v="244"/>
    <x v="1"/>
    <x v="2"/>
    <x v="1"/>
    <x v="8"/>
    <n v="10"/>
    <n v="323.58999999999997"/>
    <n v="0.2"/>
    <n v="32.39"/>
    <n v="0.10009580024104579"/>
  </r>
  <r>
    <s v="ORD100294"/>
    <x v="245"/>
    <x v="3"/>
    <x v="1"/>
    <x v="5"/>
    <x v="8"/>
    <n v="8"/>
    <n v="2425.37"/>
    <n v="0.05"/>
    <n v="447.21"/>
    <n v="0.18438836136342079"/>
  </r>
  <r>
    <s v="ORD100295"/>
    <x v="193"/>
    <x v="0"/>
    <x v="2"/>
    <x v="6"/>
    <x v="2"/>
    <n v="6"/>
    <n v="2632.68"/>
    <n v="0.05"/>
    <n v="356.44"/>
    <n v="0.1353905525927952"/>
  </r>
  <r>
    <s v="ORD100296"/>
    <x v="246"/>
    <x v="1"/>
    <x v="1"/>
    <x v="1"/>
    <x v="3"/>
    <n v="9"/>
    <n v="3615.09"/>
    <n v="0.1"/>
    <n v="815.37"/>
    <n v="0.2255462519605321"/>
  </r>
  <r>
    <s v="ORD100297"/>
    <x v="176"/>
    <x v="0"/>
    <x v="2"/>
    <x v="7"/>
    <x v="7"/>
    <n v="2"/>
    <n v="4774.8999999999996"/>
    <n v="0"/>
    <n v="909.85"/>
    <n v="0.19054849316216049"/>
  </r>
  <r>
    <s v="ORD100298"/>
    <x v="247"/>
    <x v="0"/>
    <x v="2"/>
    <x v="3"/>
    <x v="15"/>
    <n v="3"/>
    <n v="885.06"/>
    <n v="0.05"/>
    <n v="80.94"/>
    <n v="9.1451427021896819E-2"/>
  </r>
  <r>
    <s v="ORD100299"/>
    <x v="248"/>
    <x v="3"/>
    <x v="2"/>
    <x v="0"/>
    <x v="10"/>
    <n v="7"/>
    <n v="4891.47"/>
    <n v="0.15"/>
    <n v="1465.11"/>
    <n v="0.29952345613895198"/>
  </r>
  <r>
    <s v="ORD100300"/>
    <x v="249"/>
    <x v="1"/>
    <x v="2"/>
    <x v="3"/>
    <x v="1"/>
    <n v="1"/>
    <n v="217.67"/>
    <n v="0.15"/>
    <n v="35.299999999999997"/>
    <n v="0.1621720953737309"/>
  </r>
  <r>
    <s v="ORD100301"/>
    <x v="176"/>
    <x v="2"/>
    <x v="0"/>
    <x v="7"/>
    <x v="12"/>
    <n v="9"/>
    <n v="867.37"/>
    <n v="0.15"/>
    <n v="95.17"/>
    <n v="0.109722494437206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3E871-9DF3-40AC-A26D-FEC5374885D5}" name="Customer Wise Sum profit"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7">
  <location ref="A37:B48" firstHeaderRow="1" firstDataRow="1" firstDataCol="1"/>
  <pivotFields count="11">
    <pivotField compact="0" showAll="0"/>
    <pivotField compact="0"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compact="0" showAll="0">
      <items count="5">
        <item x="1"/>
        <item x="2"/>
        <item x="3"/>
        <item x="0"/>
        <item t="default"/>
      </items>
    </pivotField>
    <pivotField compact="0" showAll="0">
      <items count="4">
        <item x="0"/>
        <item x="2"/>
        <item x="1"/>
        <item t="default"/>
      </items>
    </pivotField>
    <pivotField compact="0" showAll="0">
      <items count="9">
        <item x="7"/>
        <item x="0"/>
        <item x="3"/>
        <item x="1"/>
        <item x="6"/>
        <item x="5"/>
        <item x="4"/>
        <item x="2"/>
        <item t="default"/>
      </items>
    </pivotField>
    <pivotField axis="axisRow" compact="0" showAll="0" measureFilter="1" sortType="descending">
      <items count="21">
        <item x="14"/>
        <item x="3"/>
        <item x="15"/>
        <item x="4"/>
        <item x="5"/>
        <item x="16"/>
        <item x="17"/>
        <item x="8"/>
        <item x="11"/>
        <item x="2"/>
        <item x="13"/>
        <item x="10"/>
        <item x="7"/>
        <item x="19"/>
        <item x="12"/>
        <item x="1"/>
        <item x="6"/>
        <item x="9"/>
        <item x="18"/>
        <item x="0"/>
        <item t="default"/>
      </items>
      <autoSortScope>
        <pivotArea dataOnly="0" outline="0" fieldPosition="0">
          <references count="1">
            <reference field="4294967294" count="1" selected="0">
              <x v="0"/>
            </reference>
          </references>
        </pivotArea>
      </autoSortScope>
    </pivotField>
    <pivotField compact="0" numFmtId="1" showAll="0"/>
    <pivotField compact="0" numFmtId="164" showAll="0"/>
    <pivotField compact="0" numFmtId="10" showAll="0"/>
    <pivotField dataField="1" compact="0" numFmtId="164" showAll="0"/>
    <pivotField compact="0" numFmtId="10" showAll="0"/>
  </pivotFields>
  <rowFields count="1">
    <field x="5"/>
  </rowFields>
  <rowItems count="11">
    <i>
      <x v="1"/>
    </i>
    <i>
      <x v="11"/>
    </i>
    <i>
      <x v="9"/>
    </i>
    <i>
      <x v="7"/>
    </i>
    <i>
      <x v="5"/>
    </i>
    <i>
      <x v="16"/>
    </i>
    <i>
      <x v="4"/>
    </i>
    <i>
      <x v="19"/>
    </i>
    <i>
      <x v="13"/>
    </i>
    <i>
      <x v="17"/>
    </i>
    <i t="grand">
      <x/>
    </i>
  </rowItems>
  <colItems count="1">
    <i/>
  </colItems>
  <dataFields count="1">
    <dataField name="Sum of Profit" fld="9" baseField="0" baseItem="0" numFmtId="164"/>
  </dataFields>
  <chartFormats count="2">
    <chartFormat chart="13"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A51C1E-45B8-4EF8-BDB6-F2ECBDAACCD6}" name="Product Wise sum Quantity"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4">
  <location ref="A22:B31" firstHeaderRow="1" firstDataRow="1" firstDataCol="1"/>
  <pivotFields count="11">
    <pivotField compact="0" showAll="0"/>
    <pivotField compact="0"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compact="0" showAll="0">
      <items count="5">
        <item x="1"/>
        <item x="2"/>
        <item x="3"/>
        <item x="0"/>
        <item t="default"/>
      </items>
    </pivotField>
    <pivotField compact="0" showAll="0">
      <items count="4">
        <item x="0"/>
        <item x="2"/>
        <item x="1"/>
        <item t="default"/>
      </items>
    </pivotField>
    <pivotField axis="axisRow" compact="0" showAll="0" sortType="descending">
      <items count="9">
        <item x="7"/>
        <item x="0"/>
        <item x="3"/>
        <item x="1"/>
        <item x="6"/>
        <item x="5"/>
        <item x="4"/>
        <item x="2"/>
        <item t="default"/>
      </items>
      <autoSortScope>
        <pivotArea dataOnly="0" outline="0" fieldPosition="0">
          <references count="1">
            <reference field="4294967294" count="1" selected="0">
              <x v="0"/>
            </reference>
          </references>
        </pivotArea>
      </autoSortScope>
    </pivotField>
    <pivotField compact="0" showAll="0"/>
    <pivotField dataField="1" compact="0" numFmtId="1" showAll="0"/>
    <pivotField compact="0" numFmtId="164" showAll="0"/>
    <pivotField compact="0" numFmtId="10" showAll="0"/>
    <pivotField compact="0" numFmtId="164" showAll="0"/>
    <pivotField compact="0" numFmtId="10" showAll="0"/>
  </pivotFields>
  <rowFields count="1">
    <field x="4"/>
  </rowFields>
  <rowItems count="9">
    <i>
      <x v="4"/>
    </i>
    <i>
      <x v="2"/>
    </i>
    <i>
      <x v="1"/>
    </i>
    <i>
      <x v="7"/>
    </i>
    <i>
      <x v="3"/>
    </i>
    <i>
      <x/>
    </i>
    <i>
      <x v="5"/>
    </i>
    <i>
      <x v="6"/>
    </i>
    <i t="grand">
      <x/>
    </i>
  </rowItems>
  <colItems count="1">
    <i/>
  </colItems>
  <dataFields count="1">
    <dataField name="Sum of Quantity" fld="6" baseField="0" baseItem="0" numFmtId="1"/>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F687B6-82AA-4FEC-8230-7BD684202907}" name="Category Wise Sum"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2">
  <location ref="A13:B17" firstHeaderRow="1" firstDataRow="1" firstDataCol="1"/>
  <pivotFields count="11">
    <pivotField compact="0" showAll="0"/>
    <pivotField compact="0"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compact="0" showAll="0">
      <items count="5">
        <item x="1"/>
        <item x="2"/>
        <item x="3"/>
        <item x="0"/>
        <item t="default"/>
      </items>
    </pivotField>
    <pivotField axis="axisRow" compact="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showAll="0"/>
    <pivotField compact="0" showAll="0"/>
    <pivotField compact="0" numFmtId="1" showAll="0"/>
    <pivotField dataField="1" compact="0" numFmtId="164" showAll="0"/>
    <pivotField compact="0" numFmtId="10" showAll="0"/>
    <pivotField compact="0" numFmtId="164" showAll="0"/>
    <pivotField compact="0" numFmtId="10" showAll="0"/>
  </pivotFields>
  <rowFields count="1">
    <field x="3"/>
  </rowFields>
  <rowItems count="4">
    <i>
      <x v="2"/>
    </i>
    <i>
      <x/>
    </i>
    <i>
      <x v="1"/>
    </i>
    <i t="grand">
      <x/>
    </i>
  </rowItems>
  <colItems count="1">
    <i/>
  </colItems>
  <dataFields count="1">
    <dataField name="Sum of Sales" fld="7" baseField="0" baseItem="0" numFmtId="164"/>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2"/>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3" count="1" selected="0">
            <x v="2"/>
          </reference>
        </references>
      </pivotArea>
    </chartFormat>
    <chartFormat chart="11" format="10">
      <pivotArea type="data" outline="0" fieldPosition="0">
        <references count="2">
          <reference field="4294967294" count="1" selected="0">
            <x v="0"/>
          </reference>
          <reference field="3" count="1" selected="0">
            <x v="0"/>
          </reference>
        </references>
      </pivotArea>
    </chartFormat>
    <chartFormat chart="11" format="1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F97EC4-3C88-49D8-8714-30014A7B91B5}" name="Region Wise 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5">
  <location ref="A1:B6" firstHeaderRow="1" firstDataRow="1" firstDataCol="1"/>
  <pivotFields count="11">
    <pivotField compact="0" showAll="0"/>
    <pivotField compact="0"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axis="axisRow" compact="0"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compact="0" showAll="0">
      <items count="4">
        <item x="0"/>
        <item x="2"/>
        <item x="1"/>
        <item t="default"/>
      </items>
    </pivotField>
    <pivotField compact="0" showAll="0"/>
    <pivotField compact="0" showAll="0"/>
    <pivotField compact="0" numFmtId="1" showAll="0"/>
    <pivotField dataField="1" compact="0" numFmtId="164" showAll="0"/>
    <pivotField compact="0" numFmtId="10" showAll="0"/>
    <pivotField compact="0" numFmtId="164" showAll="0"/>
    <pivotField compact="0" numFmtId="10" showAll="0"/>
  </pivotFields>
  <rowFields count="1">
    <field x="2"/>
  </rowFields>
  <rowItems count="5">
    <i>
      <x v="2"/>
    </i>
    <i>
      <x v="1"/>
    </i>
    <i>
      <x/>
    </i>
    <i>
      <x v="3"/>
    </i>
    <i t="grand">
      <x/>
    </i>
  </rowItems>
  <colItems count="1">
    <i/>
  </colItems>
  <dataFields count="1">
    <dataField name="Sum of Sales" fld="7" baseField="0" baseItem="0"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0112C6-3E41-495F-9202-7E9EA2575A2F}" sourceName="Region">
  <pivotTables>
    <pivotTable tabId="4" name="Region Wise Sales"/>
    <pivotTable tabId="4" name="Category Wise Sum"/>
    <pivotTable tabId="4" name="Customer Wise Sum profit"/>
    <pivotTable tabId="4" name="Product Wise sum Quantity"/>
  </pivotTables>
  <data>
    <tabular pivotCacheId="1397983014">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E419B8-7F23-4230-80C6-96950F0A67D2}" sourceName="Category">
  <pivotTables>
    <pivotTable tabId="4" name="Region Wise Sales"/>
    <pivotTable tabId="4" name="Customer Wise Sum profit"/>
    <pivotTable tabId="4" name="Product Wise sum Quantity"/>
  </pivotTables>
  <data>
    <tabular pivotCacheId="13979830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F2E057-DFFB-421B-AE46-950D6B8D42D8}" cache="Slicer_Region" caption="Region" rowHeight="234950"/>
  <slicer name="Category" xr10:uid="{F47DA209-F7F6-4B91-8D20-CB7F6096EFD2}"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7000A9B-48A0-4D8D-9F0D-71CBF45DC0CE}" cache="Slicer_Region" caption="Region" style="SlicerStyleLight1 2" rowHeight="756000"/>
  <slicer name="Category 1" xr10:uid="{4AC47BFC-2780-4935-9E21-26F90C2D791F}" cache="Slicer_Category" caption="Category" style="SlicerStyleLight1 2 3" rowHeight="10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0482B-5878-4E0A-A5B9-58EF51DB7B89}" name="Table1" displayName="Table1" ref="A1:K301" totalsRowShown="0" dataDxfId="24" headerRowBorderDxfId="25" tableBorderDxfId="23" totalsRowBorderDxfId="22">
  <autoFilter ref="A1:K301" xr:uid="{61B0482B-5878-4E0A-A5B9-58EF51DB7B89}"/>
  <tableColumns count="11">
    <tableColumn id="1" xr3:uid="{9E141AC4-DF4B-48B7-A81C-CB27DA3EC536}" name="Order ID" dataDxfId="21"/>
    <tableColumn id="2" xr3:uid="{F7953414-458C-4DE6-933F-18428E760656}" name="Order Date" dataDxfId="20"/>
    <tableColumn id="3" xr3:uid="{9647339B-E622-49E7-BDAC-37BE7A184483}" name="Region" dataDxfId="19"/>
    <tableColumn id="4" xr3:uid="{93494676-9B4E-4F7B-9D79-C5CADD7454BF}" name="Category" dataDxfId="18"/>
    <tableColumn id="5" xr3:uid="{9510495C-80E8-45F7-B3CC-DA4931FB3D8E}" name="Product_Name" dataDxfId="17"/>
    <tableColumn id="6" xr3:uid="{792BD8D3-FE3B-4AFF-8A3F-2CD3358AC2F1}" name="Customer_Name" dataDxfId="16"/>
    <tableColumn id="7" xr3:uid="{72AE4B4B-F3A1-4569-B198-649CF24B12A9}" name="Quantity" dataDxfId="15"/>
    <tableColumn id="8" xr3:uid="{DCA7849A-96D1-4F8F-85B2-3188D660C35E}" name="Sales" dataDxfId="14"/>
    <tableColumn id="9" xr3:uid="{703EC50B-14E1-462C-B781-995344D29331}" name="Discount" dataDxfId="13"/>
    <tableColumn id="10" xr3:uid="{356A3BE5-A002-4B54-AF77-A3973CEAAE79}" name="Profit" dataDxfId="12"/>
    <tableColumn id="11" xr3:uid="{49B9C07A-ED70-4D98-825C-CB382DD3468B}" name="Profit Margin" dataDxfId="11"/>
  </tableColumns>
  <tableStyleInfo name="TableStyleMedium4" showFirstColumn="0" showLastColumn="0" showRowStripes="1" showColumnStripes="0"/>
</table>
</file>

<file path=xl/theme/theme1.xml><?xml version="1.0" encoding="utf-8"?>
<a:theme xmlns:a="http://schemas.openxmlformats.org/drawingml/2006/main" name="Facet">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E53FAA9-E23E-415A-86B7-9F82B60EA685}" sourceName="Order Date">
  <pivotTables>
    <pivotTable tabId="4" name="Region Wise Sales"/>
    <pivotTable tabId="4" name="Category Wise Sum"/>
    <pivotTable tabId="4" name="Customer Wise Sum profit"/>
    <pivotTable tabId="4" name="Product Wise sum Quantity"/>
  </pivotTables>
  <state minimalRefreshVersion="6" lastRefreshVersion="6" pivotCacheId="139798301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8803450-EBFB-48E1-92A8-8786EF18A3AA}" cache="NativeTimeline_Order_Date" caption="Order 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72149F3-C62D-4734-AA31-BE813453BB46}" cache="NativeTimeline_Order_Date" caption="Order Date" level="1" selectionLevel="1" scrollPosition="2023-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4547-FFA5-4EBB-8EF3-EDF8E28948BB}">
  <dimension ref="A1:E18"/>
  <sheetViews>
    <sheetView workbookViewId="0">
      <selection activeCell="B19" sqref="B19"/>
    </sheetView>
  </sheetViews>
  <sheetFormatPr defaultRowHeight="14.4" x14ac:dyDescent="0.3"/>
  <cols>
    <col min="1" max="1" width="10.21875" customWidth="1"/>
    <col min="2" max="2" width="50.88671875" customWidth="1"/>
    <col min="3" max="3" width="60" customWidth="1"/>
    <col min="4" max="4" width="20.44140625" customWidth="1"/>
    <col min="5" max="5" width="18.109375" customWidth="1"/>
  </cols>
  <sheetData>
    <row r="1" spans="1:5" ht="16.2" x14ac:dyDescent="0.35">
      <c r="A1" s="29" t="s">
        <v>347</v>
      </c>
      <c r="B1" s="29" t="s">
        <v>348</v>
      </c>
    </row>
    <row r="2" spans="1:5" x14ac:dyDescent="0.3">
      <c r="A2" s="5">
        <v>1</v>
      </c>
      <c r="B2" s="5" t="s">
        <v>349</v>
      </c>
    </row>
    <row r="3" spans="1:5" x14ac:dyDescent="0.3">
      <c r="A3" s="5">
        <v>2</v>
      </c>
      <c r="B3" s="5" t="s">
        <v>350</v>
      </c>
    </row>
    <row r="4" spans="1:5" x14ac:dyDescent="0.3">
      <c r="A4" s="5">
        <v>3</v>
      </c>
      <c r="B4" s="5" t="s">
        <v>351</v>
      </c>
    </row>
    <row r="5" spans="1:5" x14ac:dyDescent="0.3">
      <c r="A5" s="5">
        <v>4</v>
      </c>
      <c r="B5" s="5" t="s">
        <v>352</v>
      </c>
    </row>
    <row r="6" spans="1:5" x14ac:dyDescent="0.3">
      <c r="A6" s="5">
        <v>5</v>
      </c>
      <c r="B6" s="5" t="s">
        <v>353</v>
      </c>
    </row>
    <row r="7" spans="1:5" x14ac:dyDescent="0.3">
      <c r="A7" s="5">
        <v>6</v>
      </c>
      <c r="B7" s="5" t="s">
        <v>354</v>
      </c>
    </row>
    <row r="11" spans="1:5" ht="16.2" x14ac:dyDescent="0.35">
      <c r="A11" s="29" t="s">
        <v>347</v>
      </c>
      <c r="B11" s="29" t="s">
        <v>348</v>
      </c>
      <c r="C11" s="29" t="s">
        <v>355</v>
      </c>
      <c r="D11" s="29" t="s">
        <v>356</v>
      </c>
      <c r="E11" s="29" t="s">
        <v>357</v>
      </c>
    </row>
    <row r="12" spans="1:5" x14ac:dyDescent="0.3">
      <c r="A12" s="5">
        <v>1</v>
      </c>
      <c r="B12" s="5" t="s">
        <v>358</v>
      </c>
      <c r="C12" s="5" t="s">
        <v>359</v>
      </c>
      <c r="D12" s="5">
        <v>15</v>
      </c>
      <c r="E12" s="9">
        <v>0.05</v>
      </c>
    </row>
    <row r="13" spans="1:5" x14ac:dyDescent="0.3">
      <c r="A13" s="5">
        <v>2</v>
      </c>
      <c r="B13" s="5" t="s">
        <v>360</v>
      </c>
      <c r="C13" s="5" t="s">
        <v>361</v>
      </c>
      <c r="D13" s="5">
        <v>25</v>
      </c>
      <c r="E13" s="9">
        <v>0.1</v>
      </c>
    </row>
    <row r="14" spans="1:5" x14ac:dyDescent="0.3">
      <c r="A14" s="5">
        <v>3</v>
      </c>
      <c r="B14" s="5" t="s">
        <v>362</v>
      </c>
      <c r="C14" s="5" t="s">
        <v>363</v>
      </c>
      <c r="D14" s="5">
        <v>30</v>
      </c>
      <c r="E14" s="9">
        <v>0.15</v>
      </c>
    </row>
    <row r="15" spans="1:5" x14ac:dyDescent="0.3">
      <c r="A15" s="5">
        <v>4</v>
      </c>
      <c r="B15" s="5" t="s">
        <v>364</v>
      </c>
      <c r="C15" s="5" t="s">
        <v>365</v>
      </c>
      <c r="D15" s="5">
        <v>35</v>
      </c>
      <c r="E15" s="9">
        <v>0.15</v>
      </c>
    </row>
    <row r="16" spans="1:5" x14ac:dyDescent="0.3">
      <c r="A16" s="5">
        <v>5</v>
      </c>
      <c r="B16" s="5" t="s">
        <v>366</v>
      </c>
      <c r="C16" s="5" t="s">
        <v>367</v>
      </c>
      <c r="D16" s="5">
        <v>40</v>
      </c>
      <c r="E16" s="9">
        <v>0.2</v>
      </c>
    </row>
    <row r="17" spans="1:5" x14ac:dyDescent="0.3">
      <c r="A17" s="5">
        <v>6</v>
      </c>
      <c r="B17" s="5" t="s">
        <v>368</v>
      </c>
      <c r="C17" s="5" t="s">
        <v>369</v>
      </c>
      <c r="D17" s="5">
        <v>45</v>
      </c>
      <c r="E17" s="9">
        <v>0.25</v>
      </c>
    </row>
    <row r="18" spans="1:5" x14ac:dyDescent="0.3">
      <c r="A18" s="5">
        <v>7</v>
      </c>
      <c r="B18" s="5" t="s">
        <v>370</v>
      </c>
      <c r="C18" s="5" t="s">
        <v>371</v>
      </c>
      <c r="D18" s="5">
        <v>20</v>
      </c>
      <c r="E18" s="9">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zoomScale="70" workbookViewId="0">
      <selection activeCell="D15" sqref="D15"/>
    </sheetView>
  </sheetViews>
  <sheetFormatPr defaultRowHeight="14.4" x14ac:dyDescent="0.3"/>
  <cols>
    <col min="1" max="1" width="15.33203125" customWidth="1"/>
    <col min="2" max="2" width="21.5546875" style="1" customWidth="1"/>
    <col min="3" max="3" width="15" customWidth="1"/>
    <col min="4" max="4" width="17.109375" customWidth="1"/>
    <col min="5" max="5" width="22.77734375" customWidth="1"/>
    <col min="6" max="6" width="24.88671875" customWidth="1"/>
    <col min="7" max="7" width="16.109375" style="2" customWidth="1"/>
    <col min="8" max="8" width="14.77734375" style="3" customWidth="1"/>
    <col min="9" max="9" width="12.88671875" style="4" customWidth="1"/>
    <col min="10" max="10" width="14.77734375" style="3" customWidth="1"/>
    <col min="11" max="11" width="18.33203125" style="4" customWidth="1"/>
  </cols>
  <sheetData>
    <row r="1" spans="1:11" x14ac:dyDescent="0.3">
      <c r="A1" s="12" t="s">
        <v>0</v>
      </c>
      <c r="B1" s="13" t="s">
        <v>1</v>
      </c>
      <c r="C1" s="14" t="s">
        <v>2</v>
      </c>
      <c r="D1" s="14" t="s">
        <v>3</v>
      </c>
      <c r="E1" s="26" t="s">
        <v>346</v>
      </c>
      <c r="F1" s="14" t="s">
        <v>4</v>
      </c>
      <c r="G1" s="15" t="s">
        <v>5</v>
      </c>
      <c r="H1" s="16" t="s">
        <v>6</v>
      </c>
      <c r="I1" s="17" t="s">
        <v>7</v>
      </c>
      <c r="J1" s="16" t="s">
        <v>8</v>
      </c>
      <c r="K1" s="18" t="s">
        <v>9</v>
      </c>
    </row>
    <row r="2" spans="1:11" x14ac:dyDescent="0.3">
      <c r="A2" s="10" t="s">
        <v>10</v>
      </c>
      <c r="B2" s="6">
        <v>45024</v>
      </c>
      <c r="C2" s="5" t="s">
        <v>11</v>
      </c>
      <c r="D2" s="5" t="s">
        <v>12</v>
      </c>
      <c r="E2" s="5" t="s">
        <v>13</v>
      </c>
      <c r="F2" s="5" t="s">
        <v>14</v>
      </c>
      <c r="G2" s="7">
        <v>2</v>
      </c>
      <c r="H2" s="8">
        <v>3497.31</v>
      </c>
      <c r="I2" s="9">
        <v>0.1</v>
      </c>
      <c r="J2" s="8">
        <v>621.59</v>
      </c>
      <c r="K2" s="11">
        <v>0.17773374393462399</v>
      </c>
    </row>
    <row r="3" spans="1:11" x14ac:dyDescent="0.3">
      <c r="A3" s="10" t="s">
        <v>15</v>
      </c>
      <c r="B3" s="6">
        <v>45099</v>
      </c>
      <c r="C3" s="5" t="s">
        <v>16</v>
      </c>
      <c r="D3" s="5" t="s">
        <v>12</v>
      </c>
      <c r="E3" s="5" t="s">
        <v>17</v>
      </c>
      <c r="F3" s="5" t="s">
        <v>18</v>
      </c>
      <c r="G3" s="7">
        <v>2</v>
      </c>
      <c r="H3" s="8">
        <v>3231.61</v>
      </c>
      <c r="I3" s="9">
        <v>0.05</v>
      </c>
      <c r="J3" s="8">
        <v>854.93</v>
      </c>
      <c r="K3" s="11">
        <v>0.26455234387812882</v>
      </c>
    </row>
    <row r="4" spans="1:11" x14ac:dyDescent="0.3">
      <c r="A4" s="10" t="s">
        <v>19</v>
      </c>
      <c r="B4" s="6">
        <v>45046</v>
      </c>
      <c r="C4" s="5" t="s">
        <v>20</v>
      </c>
      <c r="D4" s="5" t="s">
        <v>21</v>
      </c>
      <c r="E4" s="5" t="s">
        <v>13</v>
      </c>
      <c r="F4" s="5" t="s">
        <v>22</v>
      </c>
      <c r="G4" s="7">
        <v>6</v>
      </c>
      <c r="H4" s="8">
        <v>3844.45</v>
      </c>
      <c r="I4" s="9">
        <v>0.1</v>
      </c>
      <c r="J4" s="8">
        <v>731.23</v>
      </c>
      <c r="K4" s="11">
        <v>0.1902040603987567</v>
      </c>
    </row>
    <row r="5" spans="1:11" x14ac:dyDescent="0.3">
      <c r="A5" s="10" t="s">
        <v>23</v>
      </c>
      <c r="B5" s="6">
        <v>45103</v>
      </c>
      <c r="C5" s="5" t="s">
        <v>16</v>
      </c>
      <c r="D5" s="5" t="s">
        <v>12</v>
      </c>
      <c r="E5" s="5" t="s">
        <v>13</v>
      </c>
      <c r="F5" s="5" t="s">
        <v>22</v>
      </c>
      <c r="G5" s="7">
        <v>6</v>
      </c>
      <c r="H5" s="8">
        <v>124.67</v>
      </c>
      <c r="I5" s="9">
        <v>0.05</v>
      </c>
      <c r="J5" s="8">
        <v>12.8</v>
      </c>
      <c r="K5" s="11">
        <v>0.1026710515761611</v>
      </c>
    </row>
    <row r="6" spans="1:11" x14ac:dyDescent="0.3">
      <c r="A6" s="10" t="s">
        <v>24</v>
      </c>
      <c r="B6" s="6">
        <v>45640</v>
      </c>
      <c r="C6" s="5" t="s">
        <v>16</v>
      </c>
      <c r="D6" s="5" t="s">
        <v>21</v>
      </c>
      <c r="E6" s="5" t="s">
        <v>25</v>
      </c>
      <c r="F6" s="5" t="s">
        <v>26</v>
      </c>
      <c r="G6" s="7">
        <v>6</v>
      </c>
      <c r="H6" s="8">
        <v>3724.01</v>
      </c>
      <c r="I6" s="9">
        <v>0.2</v>
      </c>
      <c r="J6" s="8">
        <v>415.81</v>
      </c>
      <c r="K6" s="11">
        <v>0.1116565207934458</v>
      </c>
    </row>
    <row r="7" spans="1:11" x14ac:dyDescent="0.3">
      <c r="A7" s="10" t="s">
        <v>27</v>
      </c>
      <c r="B7" s="6">
        <v>45481</v>
      </c>
      <c r="C7" s="5" t="s">
        <v>20</v>
      </c>
      <c r="D7" s="5" t="s">
        <v>21</v>
      </c>
      <c r="E7" s="5" t="s">
        <v>13</v>
      </c>
      <c r="F7" s="5" t="s">
        <v>28</v>
      </c>
      <c r="G7" s="7">
        <v>1</v>
      </c>
      <c r="H7" s="8">
        <v>3387.89</v>
      </c>
      <c r="I7" s="9">
        <v>0.15</v>
      </c>
      <c r="J7" s="8">
        <v>257.43</v>
      </c>
      <c r="K7" s="11">
        <v>7.5985347812355192E-2</v>
      </c>
    </row>
    <row r="8" spans="1:11" x14ac:dyDescent="0.3">
      <c r="A8" s="10" t="s">
        <v>29</v>
      </c>
      <c r="B8" s="6">
        <v>45369</v>
      </c>
      <c r="C8" s="5" t="s">
        <v>30</v>
      </c>
      <c r="D8" s="5" t="s">
        <v>21</v>
      </c>
      <c r="E8" s="5" t="s">
        <v>31</v>
      </c>
      <c r="F8" s="5" t="s">
        <v>14</v>
      </c>
      <c r="G8" s="7">
        <v>3</v>
      </c>
      <c r="H8" s="8">
        <v>3105.86</v>
      </c>
      <c r="I8" s="9">
        <v>0</v>
      </c>
      <c r="J8" s="8">
        <v>787.91</v>
      </c>
      <c r="K8" s="11">
        <v>0.25368496970243343</v>
      </c>
    </row>
    <row r="9" spans="1:11" x14ac:dyDescent="0.3">
      <c r="A9" s="10" t="s">
        <v>32</v>
      </c>
      <c r="B9" s="6">
        <v>45311</v>
      </c>
      <c r="C9" s="5" t="s">
        <v>11</v>
      </c>
      <c r="D9" s="5" t="s">
        <v>33</v>
      </c>
      <c r="E9" s="5" t="s">
        <v>34</v>
      </c>
      <c r="F9" s="5" t="s">
        <v>35</v>
      </c>
      <c r="G9" s="7">
        <v>5</v>
      </c>
      <c r="H9" s="8">
        <v>854.48</v>
      </c>
      <c r="I9" s="9">
        <v>0.1</v>
      </c>
      <c r="J9" s="8">
        <v>171.62</v>
      </c>
      <c r="K9" s="11">
        <v>0.20084729894204659</v>
      </c>
    </row>
    <row r="10" spans="1:11" x14ac:dyDescent="0.3">
      <c r="A10" s="10" t="s">
        <v>36</v>
      </c>
      <c r="B10" s="6">
        <v>45420</v>
      </c>
      <c r="C10" s="5" t="s">
        <v>30</v>
      </c>
      <c r="D10" s="5" t="s">
        <v>12</v>
      </c>
      <c r="E10" s="5" t="s">
        <v>25</v>
      </c>
      <c r="F10" s="5" t="s">
        <v>37</v>
      </c>
      <c r="G10" s="7">
        <v>6</v>
      </c>
      <c r="H10" s="8">
        <v>1473.23</v>
      </c>
      <c r="I10" s="9">
        <v>0.2</v>
      </c>
      <c r="J10" s="8">
        <v>308.72000000000003</v>
      </c>
      <c r="K10" s="11">
        <v>0.2095531587057011</v>
      </c>
    </row>
    <row r="11" spans="1:11" x14ac:dyDescent="0.3">
      <c r="A11" s="10" t="s">
        <v>38</v>
      </c>
      <c r="B11" s="6">
        <v>45520</v>
      </c>
      <c r="C11" s="5" t="s">
        <v>16</v>
      </c>
      <c r="D11" s="5" t="s">
        <v>21</v>
      </c>
      <c r="E11" s="5" t="s">
        <v>39</v>
      </c>
      <c r="F11" s="5" t="s">
        <v>28</v>
      </c>
      <c r="G11" s="7">
        <v>4</v>
      </c>
      <c r="H11" s="8">
        <v>2056.86</v>
      </c>
      <c r="I11" s="9">
        <v>0.05</v>
      </c>
      <c r="J11" s="8">
        <v>413.8</v>
      </c>
      <c r="K11" s="11">
        <v>0.20118044008828989</v>
      </c>
    </row>
    <row r="12" spans="1:11" x14ac:dyDescent="0.3">
      <c r="A12" s="10" t="s">
        <v>40</v>
      </c>
      <c r="B12" s="6">
        <v>45408</v>
      </c>
      <c r="C12" s="5" t="s">
        <v>11</v>
      </c>
      <c r="D12" s="5" t="s">
        <v>33</v>
      </c>
      <c r="E12" s="5" t="s">
        <v>13</v>
      </c>
      <c r="F12" s="5" t="s">
        <v>41</v>
      </c>
      <c r="G12" s="7">
        <v>1</v>
      </c>
      <c r="H12" s="8">
        <v>2171.88</v>
      </c>
      <c r="I12" s="9">
        <v>0</v>
      </c>
      <c r="J12" s="8">
        <v>533.39</v>
      </c>
      <c r="K12" s="11">
        <v>0.24558907490284909</v>
      </c>
    </row>
    <row r="13" spans="1:11" x14ac:dyDescent="0.3">
      <c r="A13" s="10" t="s">
        <v>42</v>
      </c>
      <c r="B13" s="6">
        <v>45363</v>
      </c>
      <c r="C13" s="5" t="s">
        <v>30</v>
      </c>
      <c r="D13" s="5" t="s">
        <v>12</v>
      </c>
      <c r="E13" s="5" t="s">
        <v>43</v>
      </c>
      <c r="F13" s="5" t="s">
        <v>44</v>
      </c>
      <c r="G13" s="7">
        <v>7</v>
      </c>
      <c r="H13" s="8">
        <v>2738.48</v>
      </c>
      <c r="I13" s="9">
        <v>0.2</v>
      </c>
      <c r="J13" s="8">
        <v>581.29</v>
      </c>
      <c r="K13" s="11">
        <v>0.2122673892086121</v>
      </c>
    </row>
    <row r="14" spans="1:11" x14ac:dyDescent="0.3">
      <c r="A14" s="10" t="s">
        <v>45</v>
      </c>
      <c r="B14" s="6">
        <v>45247</v>
      </c>
      <c r="C14" s="5" t="s">
        <v>16</v>
      </c>
      <c r="D14" s="5" t="s">
        <v>21</v>
      </c>
      <c r="E14" s="5" t="s">
        <v>46</v>
      </c>
      <c r="F14" s="5" t="s">
        <v>35</v>
      </c>
      <c r="G14" s="7">
        <v>6</v>
      </c>
      <c r="H14" s="8">
        <v>1462.49</v>
      </c>
      <c r="I14" s="9">
        <v>0</v>
      </c>
      <c r="J14" s="8">
        <v>161.51</v>
      </c>
      <c r="K14" s="11">
        <v>0.1104349431449104</v>
      </c>
    </row>
    <row r="15" spans="1:11" x14ac:dyDescent="0.3">
      <c r="A15" s="10" t="s">
        <v>47</v>
      </c>
      <c r="B15" s="6">
        <v>45282</v>
      </c>
      <c r="C15" s="5" t="s">
        <v>11</v>
      </c>
      <c r="D15" s="5" t="s">
        <v>21</v>
      </c>
      <c r="E15" s="5" t="s">
        <v>34</v>
      </c>
      <c r="F15" s="5" t="s">
        <v>48</v>
      </c>
      <c r="G15" s="7">
        <v>3</v>
      </c>
      <c r="H15" s="8">
        <v>4716.99</v>
      </c>
      <c r="I15" s="9">
        <v>0.1</v>
      </c>
      <c r="J15" s="8">
        <v>273.3</v>
      </c>
      <c r="K15" s="11">
        <v>5.7939491073756788E-2</v>
      </c>
    </row>
    <row r="16" spans="1:11" x14ac:dyDescent="0.3">
      <c r="A16" s="10" t="s">
        <v>49</v>
      </c>
      <c r="B16" s="6">
        <v>45337</v>
      </c>
      <c r="C16" s="5" t="s">
        <v>16</v>
      </c>
      <c r="D16" s="5" t="s">
        <v>12</v>
      </c>
      <c r="E16" s="5" t="s">
        <v>31</v>
      </c>
      <c r="F16" s="5" t="s">
        <v>50</v>
      </c>
      <c r="G16" s="7">
        <v>2</v>
      </c>
      <c r="H16" s="8">
        <v>2740.53</v>
      </c>
      <c r="I16" s="9">
        <v>0</v>
      </c>
      <c r="J16" s="8">
        <v>394.95</v>
      </c>
      <c r="K16" s="11">
        <v>0.1441144596118269</v>
      </c>
    </row>
    <row r="17" spans="1:11" x14ac:dyDescent="0.3">
      <c r="A17" s="10" t="s">
        <v>51</v>
      </c>
      <c r="B17" s="6">
        <v>45128</v>
      </c>
      <c r="C17" s="5" t="s">
        <v>30</v>
      </c>
      <c r="D17" s="5" t="s">
        <v>12</v>
      </c>
      <c r="E17" s="5" t="s">
        <v>39</v>
      </c>
      <c r="F17" s="5" t="s">
        <v>35</v>
      </c>
      <c r="G17" s="7">
        <v>3</v>
      </c>
      <c r="H17" s="8">
        <v>4424.41</v>
      </c>
      <c r="I17" s="9">
        <v>0</v>
      </c>
      <c r="J17" s="8">
        <v>751.61</v>
      </c>
      <c r="K17" s="11">
        <v>0.1698780176339896</v>
      </c>
    </row>
    <row r="18" spans="1:11" x14ac:dyDescent="0.3">
      <c r="A18" s="10" t="s">
        <v>52</v>
      </c>
      <c r="B18" s="6">
        <v>45107</v>
      </c>
      <c r="C18" s="5" t="s">
        <v>30</v>
      </c>
      <c r="D18" s="5" t="s">
        <v>21</v>
      </c>
      <c r="E18" s="5" t="s">
        <v>13</v>
      </c>
      <c r="F18" s="5" t="s">
        <v>53</v>
      </c>
      <c r="G18" s="7">
        <v>8</v>
      </c>
      <c r="H18" s="8">
        <v>3618.24</v>
      </c>
      <c r="I18" s="9">
        <v>0.2</v>
      </c>
      <c r="J18" s="8">
        <v>234.59</v>
      </c>
      <c r="K18" s="11">
        <v>6.4835389581675076E-2</v>
      </c>
    </row>
    <row r="19" spans="1:11" x14ac:dyDescent="0.3">
      <c r="A19" s="10" t="s">
        <v>54</v>
      </c>
      <c r="B19" s="6">
        <v>45328</v>
      </c>
      <c r="C19" s="5" t="s">
        <v>20</v>
      </c>
      <c r="D19" s="5" t="s">
        <v>21</v>
      </c>
      <c r="E19" s="5" t="s">
        <v>39</v>
      </c>
      <c r="F19" s="5" t="s">
        <v>55</v>
      </c>
      <c r="G19" s="7">
        <v>8</v>
      </c>
      <c r="H19" s="8">
        <v>1860.74</v>
      </c>
      <c r="I19" s="9">
        <v>0.05</v>
      </c>
      <c r="J19" s="8">
        <v>442.55</v>
      </c>
      <c r="K19" s="11">
        <v>0.23783548480711969</v>
      </c>
    </row>
    <row r="20" spans="1:11" x14ac:dyDescent="0.3">
      <c r="A20" s="10" t="s">
        <v>56</v>
      </c>
      <c r="B20" s="6">
        <v>45614</v>
      </c>
      <c r="C20" s="5" t="s">
        <v>30</v>
      </c>
      <c r="D20" s="5" t="s">
        <v>33</v>
      </c>
      <c r="E20" s="5" t="s">
        <v>17</v>
      </c>
      <c r="F20" s="5" t="s">
        <v>55</v>
      </c>
      <c r="G20" s="7">
        <v>9</v>
      </c>
      <c r="H20" s="8">
        <v>208.01</v>
      </c>
      <c r="I20" s="9">
        <v>0.1</v>
      </c>
      <c r="J20" s="8">
        <v>27.95</v>
      </c>
      <c r="K20" s="11">
        <v>0.13436853997403969</v>
      </c>
    </row>
    <row r="21" spans="1:11" x14ac:dyDescent="0.3">
      <c r="A21" s="10" t="s">
        <v>57</v>
      </c>
      <c r="B21" s="6">
        <v>45104</v>
      </c>
      <c r="C21" s="5" t="s">
        <v>30</v>
      </c>
      <c r="D21" s="5" t="s">
        <v>21</v>
      </c>
      <c r="E21" s="5" t="s">
        <v>13</v>
      </c>
      <c r="F21" s="5" t="s">
        <v>44</v>
      </c>
      <c r="G21" s="7">
        <v>1</v>
      </c>
      <c r="H21" s="8">
        <v>3035.45</v>
      </c>
      <c r="I21" s="9">
        <v>0.2</v>
      </c>
      <c r="J21" s="8">
        <v>684.72</v>
      </c>
      <c r="K21" s="11">
        <v>0.22557446177667231</v>
      </c>
    </row>
    <row r="22" spans="1:11" x14ac:dyDescent="0.3">
      <c r="A22" s="10" t="s">
        <v>58</v>
      </c>
      <c r="B22" s="6">
        <v>45407</v>
      </c>
      <c r="C22" s="5" t="s">
        <v>16</v>
      </c>
      <c r="D22" s="5" t="s">
        <v>21</v>
      </c>
      <c r="E22" s="5" t="s">
        <v>25</v>
      </c>
      <c r="F22" s="5" t="s">
        <v>18</v>
      </c>
      <c r="G22" s="7">
        <v>9</v>
      </c>
      <c r="H22" s="8">
        <v>2915.52</v>
      </c>
      <c r="I22" s="9">
        <v>0.1</v>
      </c>
      <c r="J22" s="8">
        <v>729.66</v>
      </c>
      <c r="K22" s="11">
        <v>0.25026753375041161</v>
      </c>
    </row>
    <row r="23" spans="1:11" x14ac:dyDescent="0.3">
      <c r="A23" s="10" t="s">
        <v>59</v>
      </c>
      <c r="B23" s="6">
        <v>45085</v>
      </c>
      <c r="C23" s="5" t="s">
        <v>30</v>
      </c>
      <c r="D23" s="5" t="s">
        <v>12</v>
      </c>
      <c r="E23" s="5" t="s">
        <v>43</v>
      </c>
      <c r="F23" s="5" t="s">
        <v>26</v>
      </c>
      <c r="G23" s="7">
        <v>7</v>
      </c>
      <c r="H23" s="8">
        <v>4885.0600000000004</v>
      </c>
      <c r="I23" s="9">
        <v>0.2</v>
      </c>
      <c r="J23" s="8">
        <v>1147.1400000000001</v>
      </c>
      <c r="K23" s="11">
        <v>0.2348261843252693</v>
      </c>
    </row>
    <row r="24" spans="1:11" x14ac:dyDescent="0.3">
      <c r="A24" s="10" t="s">
        <v>60</v>
      </c>
      <c r="B24" s="6">
        <v>45487</v>
      </c>
      <c r="C24" s="5" t="s">
        <v>30</v>
      </c>
      <c r="D24" s="5" t="s">
        <v>33</v>
      </c>
      <c r="E24" s="5" t="s">
        <v>25</v>
      </c>
      <c r="F24" s="5" t="s">
        <v>61</v>
      </c>
      <c r="G24" s="7">
        <v>9</v>
      </c>
      <c r="H24" s="8">
        <v>267.48</v>
      </c>
      <c r="I24" s="9">
        <v>0.2</v>
      </c>
      <c r="J24" s="8">
        <v>67.52</v>
      </c>
      <c r="K24" s="11">
        <v>0.25243008823089569</v>
      </c>
    </row>
    <row r="25" spans="1:11" x14ac:dyDescent="0.3">
      <c r="A25" s="10" t="s">
        <v>62</v>
      </c>
      <c r="B25" s="6">
        <v>45624</v>
      </c>
      <c r="C25" s="5" t="s">
        <v>20</v>
      </c>
      <c r="D25" s="5" t="s">
        <v>21</v>
      </c>
      <c r="E25" s="5" t="s">
        <v>25</v>
      </c>
      <c r="F25" s="5" t="s">
        <v>37</v>
      </c>
      <c r="G25" s="7">
        <v>9</v>
      </c>
      <c r="H25" s="8">
        <v>3796.12</v>
      </c>
      <c r="I25" s="9">
        <v>0</v>
      </c>
      <c r="J25" s="8">
        <v>256.64999999999998</v>
      </c>
      <c r="K25" s="11">
        <v>6.7608505526695672E-2</v>
      </c>
    </row>
    <row r="26" spans="1:11" x14ac:dyDescent="0.3">
      <c r="A26" s="10" t="s">
        <v>63</v>
      </c>
      <c r="B26" s="6">
        <v>45034</v>
      </c>
      <c r="C26" s="5" t="s">
        <v>30</v>
      </c>
      <c r="D26" s="5" t="s">
        <v>33</v>
      </c>
      <c r="E26" s="5" t="s">
        <v>31</v>
      </c>
      <c r="F26" s="5" t="s">
        <v>55</v>
      </c>
      <c r="G26" s="7">
        <v>10</v>
      </c>
      <c r="H26" s="8">
        <v>461.95</v>
      </c>
      <c r="I26" s="9">
        <v>0.2</v>
      </c>
      <c r="J26" s="8">
        <v>42.15</v>
      </c>
      <c r="K26" s="11">
        <v>9.1243641086697691E-2</v>
      </c>
    </row>
    <row r="27" spans="1:11" x14ac:dyDescent="0.3">
      <c r="A27" s="10" t="s">
        <v>64</v>
      </c>
      <c r="B27" s="6">
        <v>45188</v>
      </c>
      <c r="C27" s="5" t="s">
        <v>11</v>
      </c>
      <c r="D27" s="5" t="s">
        <v>12</v>
      </c>
      <c r="E27" s="5" t="s">
        <v>25</v>
      </c>
      <c r="F27" s="5" t="s">
        <v>26</v>
      </c>
      <c r="G27" s="7">
        <v>9</v>
      </c>
      <c r="H27" s="8">
        <v>4068.35</v>
      </c>
      <c r="I27" s="9">
        <v>0</v>
      </c>
      <c r="J27" s="8">
        <v>1056.77</v>
      </c>
      <c r="K27" s="11">
        <v>0.25975395430579967</v>
      </c>
    </row>
    <row r="28" spans="1:11" x14ac:dyDescent="0.3">
      <c r="A28" s="10" t="s">
        <v>65</v>
      </c>
      <c r="B28" s="6">
        <v>45635</v>
      </c>
      <c r="C28" s="5" t="s">
        <v>11</v>
      </c>
      <c r="D28" s="5" t="s">
        <v>21</v>
      </c>
      <c r="E28" s="5" t="s">
        <v>25</v>
      </c>
      <c r="F28" s="5" t="s">
        <v>66</v>
      </c>
      <c r="G28" s="7">
        <v>3</v>
      </c>
      <c r="H28" s="8">
        <v>1300.73</v>
      </c>
      <c r="I28" s="9">
        <v>0</v>
      </c>
      <c r="J28" s="8">
        <v>209.56</v>
      </c>
      <c r="K28" s="11">
        <v>0.1611095308019343</v>
      </c>
    </row>
    <row r="29" spans="1:11" x14ac:dyDescent="0.3">
      <c r="A29" s="10" t="s">
        <v>67</v>
      </c>
      <c r="B29" s="6">
        <v>45506</v>
      </c>
      <c r="C29" s="5" t="s">
        <v>11</v>
      </c>
      <c r="D29" s="5" t="s">
        <v>21</v>
      </c>
      <c r="E29" s="5" t="s">
        <v>46</v>
      </c>
      <c r="F29" s="5" t="s">
        <v>50</v>
      </c>
      <c r="G29" s="7">
        <v>10</v>
      </c>
      <c r="H29" s="8">
        <v>4526.3100000000004</v>
      </c>
      <c r="I29" s="9">
        <v>0.15</v>
      </c>
      <c r="J29" s="8">
        <v>512</v>
      </c>
      <c r="K29" s="11">
        <v>0.1131164237535653</v>
      </c>
    </row>
    <row r="30" spans="1:11" x14ac:dyDescent="0.3">
      <c r="A30" s="10" t="s">
        <v>68</v>
      </c>
      <c r="B30" s="6">
        <v>45412</v>
      </c>
      <c r="C30" s="5" t="s">
        <v>16</v>
      </c>
      <c r="D30" s="5" t="s">
        <v>12</v>
      </c>
      <c r="E30" s="5" t="s">
        <v>39</v>
      </c>
      <c r="F30" s="5" t="s">
        <v>18</v>
      </c>
      <c r="G30" s="7">
        <v>7</v>
      </c>
      <c r="H30" s="8">
        <v>3755.67</v>
      </c>
      <c r="I30" s="9">
        <v>0.05</v>
      </c>
      <c r="J30" s="8">
        <v>649.07000000000005</v>
      </c>
      <c r="K30" s="11">
        <v>0.17282402340993749</v>
      </c>
    </row>
    <row r="31" spans="1:11" x14ac:dyDescent="0.3">
      <c r="A31" s="10" t="s">
        <v>69</v>
      </c>
      <c r="B31" s="6">
        <v>45340</v>
      </c>
      <c r="C31" s="5" t="s">
        <v>30</v>
      </c>
      <c r="D31" s="5" t="s">
        <v>33</v>
      </c>
      <c r="E31" s="5" t="s">
        <v>31</v>
      </c>
      <c r="F31" s="5" t="s">
        <v>55</v>
      </c>
      <c r="G31" s="7">
        <v>6</v>
      </c>
      <c r="H31" s="8">
        <v>1791.85</v>
      </c>
      <c r="I31" s="9">
        <v>0.15</v>
      </c>
      <c r="J31" s="8">
        <v>171.78</v>
      </c>
      <c r="K31" s="11">
        <v>9.5867399614923132E-2</v>
      </c>
    </row>
    <row r="32" spans="1:11" x14ac:dyDescent="0.3">
      <c r="A32" s="10" t="s">
        <v>70</v>
      </c>
      <c r="B32" s="6">
        <v>45628</v>
      </c>
      <c r="C32" s="5" t="s">
        <v>11</v>
      </c>
      <c r="D32" s="5" t="s">
        <v>21</v>
      </c>
      <c r="E32" s="5" t="s">
        <v>39</v>
      </c>
      <c r="F32" s="5" t="s">
        <v>71</v>
      </c>
      <c r="G32" s="7">
        <v>5</v>
      </c>
      <c r="H32" s="8">
        <v>1336.47</v>
      </c>
      <c r="I32" s="9">
        <v>0.05</v>
      </c>
      <c r="J32" s="8">
        <v>104.94</v>
      </c>
      <c r="K32" s="11">
        <v>7.8520281038856082E-2</v>
      </c>
    </row>
    <row r="33" spans="1:11" x14ac:dyDescent="0.3">
      <c r="A33" s="10" t="s">
        <v>72</v>
      </c>
      <c r="B33" s="6">
        <v>45589</v>
      </c>
      <c r="C33" s="5" t="s">
        <v>11</v>
      </c>
      <c r="D33" s="5" t="s">
        <v>33</v>
      </c>
      <c r="E33" s="5" t="s">
        <v>25</v>
      </c>
      <c r="F33" s="5" t="s">
        <v>22</v>
      </c>
      <c r="G33" s="7">
        <v>7</v>
      </c>
      <c r="H33" s="8">
        <v>3926.64</v>
      </c>
      <c r="I33" s="9">
        <v>0.2</v>
      </c>
      <c r="J33" s="8">
        <v>431.14</v>
      </c>
      <c r="K33" s="11">
        <v>0.109798708310413</v>
      </c>
    </row>
    <row r="34" spans="1:11" x14ac:dyDescent="0.3">
      <c r="A34" s="10" t="s">
        <v>73</v>
      </c>
      <c r="B34" s="6">
        <v>45314</v>
      </c>
      <c r="C34" s="5" t="s">
        <v>30</v>
      </c>
      <c r="D34" s="5" t="s">
        <v>21</v>
      </c>
      <c r="E34" s="5" t="s">
        <v>39</v>
      </c>
      <c r="F34" s="5" t="s">
        <v>48</v>
      </c>
      <c r="G34" s="7">
        <v>5</v>
      </c>
      <c r="H34" s="8">
        <v>3635.85</v>
      </c>
      <c r="I34" s="9">
        <v>0.05</v>
      </c>
      <c r="J34" s="8">
        <v>827.01</v>
      </c>
      <c r="K34" s="11">
        <v>0.22745987870786749</v>
      </c>
    </row>
    <row r="35" spans="1:11" x14ac:dyDescent="0.3">
      <c r="A35" s="10" t="s">
        <v>74</v>
      </c>
      <c r="B35" s="6">
        <v>45496</v>
      </c>
      <c r="C35" s="5" t="s">
        <v>30</v>
      </c>
      <c r="D35" s="5" t="s">
        <v>12</v>
      </c>
      <c r="E35" s="5" t="s">
        <v>17</v>
      </c>
      <c r="F35" s="5" t="s">
        <v>75</v>
      </c>
      <c r="G35" s="7">
        <v>7</v>
      </c>
      <c r="H35" s="8">
        <v>1161.0999999999999</v>
      </c>
      <c r="I35" s="9">
        <v>0.05</v>
      </c>
      <c r="J35" s="8">
        <v>328.5</v>
      </c>
      <c r="K35" s="11">
        <v>0.28292136766859022</v>
      </c>
    </row>
    <row r="36" spans="1:11" x14ac:dyDescent="0.3">
      <c r="A36" s="10" t="s">
        <v>76</v>
      </c>
      <c r="B36" s="6">
        <v>45347</v>
      </c>
      <c r="C36" s="5" t="s">
        <v>30</v>
      </c>
      <c r="D36" s="5" t="s">
        <v>12</v>
      </c>
      <c r="E36" s="5" t="s">
        <v>34</v>
      </c>
      <c r="F36" s="5" t="s">
        <v>53</v>
      </c>
      <c r="G36" s="7">
        <v>4</v>
      </c>
      <c r="H36" s="8">
        <v>4189.33</v>
      </c>
      <c r="I36" s="9">
        <v>0.15</v>
      </c>
      <c r="J36" s="8">
        <v>1158.3800000000001</v>
      </c>
      <c r="K36" s="11">
        <v>0.27650722191854071</v>
      </c>
    </row>
    <row r="37" spans="1:11" x14ac:dyDescent="0.3">
      <c r="A37" s="10" t="s">
        <v>77</v>
      </c>
      <c r="B37" s="6">
        <v>45516</v>
      </c>
      <c r="C37" s="5" t="s">
        <v>16</v>
      </c>
      <c r="D37" s="5" t="s">
        <v>21</v>
      </c>
      <c r="E37" s="5" t="s">
        <v>17</v>
      </c>
      <c r="F37" s="5" t="s">
        <v>78</v>
      </c>
      <c r="G37" s="7">
        <v>1</v>
      </c>
      <c r="H37" s="8">
        <v>3161.75</v>
      </c>
      <c r="I37" s="9">
        <v>0.1</v>
      </c>
      <c r="J37" s="8">
        <v>230.89</v>
      </c>
      <c r="K37" s="11">
        <v>7.3026014074484058E-2</v>
      </c>
    </row>
    <row r="38" spans="1:11" x14ac:dyDescent="0.3">
      <c r="A38" s="10" t="s">
        <v>79</v>
      </c>
      <c r="B38" s="6">
        <v>45529</v>
      </c>
      <c r="C38" s="5" t="s">
        <v>16</v>
      </c>
      <c r="D38" s="5" t="s">
        <v>21</v>
      </c>
      <c r="E38" s="5" t="s">
        <v>43</v>
      </c>
      <c r="F38" s="5" t="s">
        <v>44</v>
      </c>
      <c r="G38" s="7">
        <v>2</v>
      </c>
      <c r="H38" s="8">
        <v>1664.08</v>
      </c>
      <c r="I38" s="9">
        <v>0.2</v>
      </c>
      <c r="J38" s="8">
        <v>368.37</v>
      </c>
      <c r="K38" s="11">
        <v>0.22136555934810831</v>
      </c>
    </row>
    <row r="39" spans="1:11" x14ac:dyDescent="0.3">
      <c r="A39" s="10" t="s">
        <v>80</v>
      </c>
      <c r="B39" s="6">
        <v>45125</v>
      </c>
      <c r="C39" s="5" t="s">
        <v>11</v>
      </c>
      <c r="D39" s="5" t="s">
        <v>33</v>
      </c>
      <c r="E39" s="5" t="s">
        <v>25</v>
      </c>
      <c r="F39" s="5" t="s">
        <v>22</v>
      </c>
      <c r="G39" s="7">
        <v>8</v>
      </c>
      <c r="H39" s="8">
        <v>4938.09</v>
      </c>
      <c r="I39" s="9">
        <v>0</v>
      </c>
      <c r="J39" s="8">
        <v>1000.56</v>
      </c>
      <c r="K39" s="11">
        <v>0.20262085138180949</v>
      </c>
    </row>
    <row r="40" spans="1:11" x14ac:dyDescent="0.3">
      <c r="A40" s="10" t="s">
        <v>81</v>
      </c>
      <c r="B40" s="6">
        <v>45174</v>
      </c>
      <c r="C40" s="5" t="s">
        <v>11</v>
      </c>
      <c r="D40" s="5" t="s">
        <v>21</v>
      </c>
      <c r="E40" s="5" t="s">
        <v>39</v>
      </c>
      <c r="F40" s="5" t="s">
        <v>48</v>
      </c>
      <c r="G40" s="7">
        <v>10</v>
      </c>
      <c r="H40" s="8">
        <v>761.25</v>
      </c>
      <c r="I40" s="9">
        <v>0.2</v>
      </c>
      <c r="J40" s="8">
        <v>93.79</v>
      </c>
      <c r="K40" s="11">
        <v>0.1232052545155994</v>
      </c>
    </row>
    <row r="41" spans="1:11" x14ac:dyDescent="0.3">
      <c r="A41" s="10" t="s">
        <v>82</v>
      </c>
      <c r="B41" s="6">
        <v>45264</v>
      </c>
      <c r="C41" s="5" t="s">
        <v>20</v>
      </c>
      <c r="D41" s="5" t="s">
        <v>33</v>
      </c>
      <c r="E41" s="5" t="s">
        <v>31</v>
      </c>
      <c r="F41" s="5" t="s">
        <v>71</v>
      </c>
      <c r="G41" s="7">
        <v>6</v>
      </c>
      <c r="H41" s="8">
        <v>2597.73</v>
      </c>
      <c r="I41" s="9">
        <v>0.05</v>
      </c>
      <c r="J41" s="8">
        <v>412.61</v>
      </c>
      <c r="K41" s="11">
        <v>0.158834828869821</v>
      </c>
    </row>
    <row r="42" spans="1:11" x14ac:dyDescent="0.3">
      <c r="A42" s="10" t="s">
        <v>83</v>
      </c>
      <c r="B42" s="6">
        <v>45266</v>
      </c>
      <c r="C42" s="5" t="s">
        <v>16</v>
      </c>
      <c r="D42" s="5" t="s">
        <v>12</v>
      </c>
      <c r="E42" s="5" t="s">
        <v>39</v>
      </c>
      <c r="F42" s="5" t="s">
        <v>84</v>
      </c>
      <c r="G42" s="7">
        <v>3</v>
      </c>
      <c r="H42" s="8">
        <v>4112.42</v>
      </c>
      <c r="I42" s="9">
        <v>0.15</v>
      </c>
      <c r="J42" s="8">
        <v>488.62</v>
      </c>
      <c r="K42" s="11">
        <v>0.1188156851683437</v>
      </c>
    </row>
    <row r="43" spans="1:11" x14ac:dyDescent="0.3">
      <c r="A43" s="10" t="s">
        <v>85</v>
      </c>
      <c r="B43" s="6">
        <v>45602</v>
      </c>
      <c r="C43" s="5" t="s">
        <v>30</v>
      </c>
      <c r="D43" s="5" t="s">
        <v>21</v>
      </c>
      <c r="E43" s="5" t="s">
        <v>39</v>
      </c>
      <c r="F43" s="5" t="s">
        <v>71</v>
      </c>
      <c r="G43" s="7">
        <v>7</v>
      </c>
      <c r="H43" s="8">
        <v>4208.2299999999996</v>
      </c>
      <c r="I43" s="9">
        <v>0.05</v>
      </c>
      <c r="J43" s="8">
        <v>542.29999999999995</v>
      </c>
      <c r="K43" s="11">
        <v>0.12886653058411729</v>
      </c>
    </row>
    <row r="44" spans="1:11" x14ac:dyDescent="0.3">
      <c r="A44" s="10" t="s">
        <v>86</v>
      </c>
      <c r="B44" s="6">
        <v>45619</v>
      </c>
      <c r="C44" s="5" t="s">
        <v>11</v>
      </c>
      <c r="D44" s="5" t="s">
        <v>21</v>
      </c>
      <c r="E44" s="5" t="s">
        <v>34</v>
      </c>
      <c r="F44" s="5" t="s">
        <v>78</v>
      </c>
      <c r="G44" s="7">
        <v>3</v>
      </c>
      <c r="H44" s="8">
        <v>4338.76</v>
      </c>
      <c r="I44" s="9">
        <v>0.1</v>
      </c>
      <c r="J44" s="8">
        <v>683.61</v>
      </c>
      <c r="K44" s="11">
        <v>0.157558841696706</v>
      </c>
    </row>
    <row r="45" spans="1:11" x14ac:dyDescent="0.3">
      <c r="A45" s="10" t="s">
        <v>87</v>
      </c>
      <c r="B45" s="6">
        <v>45422</v>
      </c>
      <c r="C45" s="5" t="s">
        <v>30</v>
      </c>
      <c r="D45" s="5" t="s">
        <v>33</v>
      </c>
      <c r="E45" s="5" t="s">
        <v>25</v>
      </c>
      <c r="F45" s="5" t="s">
        <v>75</v>
      </c>
      <c r="G45" s="7">
        <v>3</v>
      </c>
      <c r="H45" s="8">
        <v>4546.16</v>
      </c>
      <c r="I45" s="9">
        <v>0.2</v>
      </c>
      <c r="J45" s="8">
        <v>553</v>
      </c>
      <c r="K45" s="11">
        <v>0.12164112129797459</v>
      </c>
    </row>
    <row r="46" spans="1:11" x14ac:dyDescent="0.3">
      <c r="A46" s="10" t="s">
        <v>88</v>
      </c>
      <c r="B46" s="6">
        <v>44975</v>
      </c>
      <c r="C46" s="5" t="s">
        <v>20</v>
      </c>
      <c r="D46" s="5" t="s">
        <v>21</v>
      </c>
      <c r="E46" s="5" t="s">
        <v>34</v>
      </c>
      <c r="F46" s="5" t="s">
        <v>41</v>
      </c>
      <c r="G46" s="7">
        <v>7</v>
      </c>
      <c r="H46" s="8">
        <v>2537.8000000000002</v>
      </c>
      <c r="I46" s="9">
        <v>0.1</v>
      </c>
      <c r="J46" s="8">
        <v>468.59</v>
      </c>
      <c r="K46" s="11">
        <v>0.18464417999842381</v>
      </c>
    </row>
    <row r="47" spans="1:11" x14ac:dyDescent="0.3">
      <c r="A47" s="10" t="s">
        <v>89</v>
      </c>
      <c r="B47" s="6">
        <v>45264</v>
      </c>
      <c r="C47" s="5" t="s">
        <v>11</v>
      </c>
      <c r="D47" s="5" t="s">
        <v>33</v>
      </c>
      <c r="E47" s="5" t="s">
        <v>46</v>
      </c>
      <c r="F47" s="5" t="s">
        <v>90</v>
      </c>
      <c r="G47" s="7">
        <v>5</v>
      </c>
      <c r="H47" s="8">
        <v>762.33</v>
      </c>
      <c r="I47" s="9">
        <v>0.05</v>
      </c>
      <c r="J47" s="8">
        <v>225.38</v>
      </c>
      <c r="K47" s="11">
        <v>0.29564624244093762</v>
      </c>
    </row>
    <row r="48" spans="1:11" x14ac:dyDescent="0.3">
      <c r="A48" s="10" t="s">
        <v>91</v>
      </c>
      <c r="B48" s="6">
        <v>45516</v>
      </c>
      <c r="C48" s="5" t="s">
        <v>16</v>
      </c>
      <c r="D48" s="5" t="s">
        <v>21</v>
      </c>
      <c r="E48" s="5" t="s">
        <v>46</v>
      </c>
      <c r="F48" s="5" t="s">
        <v>44</v>
      </c>
      <c r="G48" s="7">
        <v>6</v>
      </c>
      <c r="H48" s="8">
        <v>3539.39</v>
      </c>
      <c r="I48" s="9">
        <v>0.15</v>
      </c>
      <c r="J48" s="8">
        <v>335.05</v>
      </c>
      <c r="K48" s="11">
        <v>9.4663204676512056E-2</v>
      </c>
    </row>
    <row r="49" spans="1:11" x14ac:dyDescent="0.3">
      <c r="A49" s="10" t="s">
        <v>92</v>
      </c>
      <c r="B49" s="6">
        <v>45570</v>
      </c>
      <c r="C49" s="5" t="s">
        <v>20</v>
      </c>
      <c r="D49" s="5" t="s">
        <v>21</v>
      </c>
      <c r="E49" s="5" t="s">
        <v>31</v>
      </c>
      <c r="F49" s="5" t="s">
        <v>44</v>
      </c>
      <c r="G49" s="7">
        <v>10</v>
      </c>
      <c r="H49" s="8">
        <v>4646.59</v>
      </c>
      <c r="I49" s="9">
        <v>0.05</v>
      </c>
      <c r="J49" s="8">
        <v>563.07000000000005</v>
      </c>
      <c r="K49" s="11">
        <v>0.12117918731801169</v>
      </c>
    </row>
    <row r="50" spans="1:11" x14ac:dyDescent="0.3">
      <c r="A50" s="10" t="s">
        <v>93</v>
      </c>
      <c r="B50" s="6">
        <v>45271</v>
      </c>
      <c r="C50" s="5" t="s">
        <v>30</v>
      </c>
      <c r="D50" s="5" t="s">
        <v>12</v>
      </c>
      <c r="E50" s="5" t="s">
        <v>31</v>
      </c>
      <c r="F50" s="5" t="s">
        <v>22</v>
      </c>
      <c r="G50" s="7">
        <v>1</v>
      </c>
      <c r="H50" s="8">
        <v>4103.6499999999996</v>
      </c>
      <c r="I50" s="9">
        <v>0.05</v>
      </c>
      <c r="J50" s="8">
        <v>725.12</v>
      </c>
      <c r="K50" s="11">
        <v>0.17670122939334501</v>
      </c>
    </row>
    <row r="51" spans="1:11" x14ac:dyDescent="0.3">
      <c r="A51" s="10" t="s">
        <v>94</v>
      </c>
      <c r="B51" s="6">
        <v>45071</v>
      </c>
      <c r="C51" s="5" t="s">
        <v>16</v>
      </c>
      <c r="D51" s="5" t="s">
        <v>21</v>
      </c>
      <c r="E51" s="5" t="s">
        <v>31</v>
      </c>
      <c r="F51" s="5" t="s">
        <v>71</v>
      </c>
      <c r="G51" s="7">
        <v>10</v>
      </c>
      <c r="H51" s="8">
        <v>2433.1999999999998</v>
      </c>
      <c r="I51" s="9">
        <v>0.1</v>
      </c>
      <c r="J51" s="8">
        <v>186.35</v>
      </c>
      <c r="K51" s="11">
        <v>7.6586388295249053E-2</v>
      </c>
    </row>
    <row r="52" spans="1:11" x14ac:dyDescent="0.3">
      <c r="A52" s="10" t="s">
        <v>95</v>
      </c>
      <c r="B52" s="6">
        <v>45570</v>
      </c>
      <c r="C52" s="5" t="s">
        <v>16</v>
      </c>
      <c r="D52" s="5" t="s">
        <v>21</v>
      </c>
      <c r="E52" s="5" t="s">
        <v>46</v>
      </c>
      <c r="F52" s="5" t="s">
        <v>37</v>
      </c>
      <c r="G52" s="7">
        <v>1</v>
      </c>
      <c r="H52" s="8">
        <v>4448.63</v>
      </c>
      <c r="I52" s="9">
        <v>0</v>
      </c>
      <c r="J52" s="8">
        <v>778.37</v>
      </c>
      <c r="K52" s="11">
        <v>0.17496847344013769</v>
      </c>
    </row>
    <row r="53" spans="1:11" x14ac:dyDescent="0.3">
      <c r="A53" s="10" t="s">
        <v>96</v>
      </c>
      <c r="B53" s="6">
        <v>45453</v>
      </c>
      <c r="C53" s="5" t="s">
        <v>11</v>
      </c>
      <c r="D53" s="5" t="s">
        <v>12</v>
      </c>
      <c r="E53" s="5" t="s">
        <v>25</v>
      </c>
      <c r="F53" s="5" t="s">
        <v>55</v>
      </c>
      <c r="G53" s="7">
        <v>3</v>
      </c>
      <c r="H53" s="8">
        <v>3282.08</v>
      </c>
      <c r="I53" s="9">
        <v>0.1</v>
      </c>
      <c r="J53" s="8">
        <v>175.37</v>
      </c>
      <c r="K53" s="11">
        <v>5.3432579339930779E-2</v>
      </c>
    </row>
    <row r="54" spans="1:11" x14ac:dyDescent="0.3">
      <c r="A54" s="10" t="s">
        <v>97</v>
      </c>
      <c r="B54" s="6">
        <v>44998</v>
      </c>
      <c r="C54" s="5" t="s">
        <v>16</v>
      </c>
      <c r="D54" s="5" t="s">
        <v>33</v>
      </c>
      <c r="E54" s="5" t="s">
        <v>13</v>
      </c>
      <c r="F54" s="5" t="s">
        <v>84</v>
      </c>
      <c r="G54" s="7">
        <v>10</v>
      </c>
      <c r="H54" s="8">
        <v>2020.34</v>
      </c>
      <c r="I54" s="9">
        <v>0.2</v>
      </c>
      <c r="J54" s="8">
        <v>357.51</v>
      </c>
      <c r="K54" s="11">
        <v>0.17695536394864231</v>
      </c>
    </row>
    <row r="55" spans="1:11" x14ac:dyDescent="0.3">
      <c r="A55" s="10" t="s">
        <v>98</v>
      </c>
      <c r="B55" s="6">
        <v>45651</v>
      </c>
      <c r="C55" s="5" t="s">
        <v>30</v>
      </c>
      <c r="D55" s="5" t="s">
        <v>21</v>
      </c>
      <c r="E55" s="5" t="s">
        <v>17</v>
      </c>
      <c r="F55" s="5" t="s">
        <v>84</v>
      </c>
      <c r="G55" s="7">
        <v>9</v>
      </c>
      <c r="H55" s="8">
        <v>1369.55</v>
      </c>
      <c r="I55" s="9">
        <v>0.1</v>
      </c>
      <c r="J55" s="8">
        <v>336.31</v>
      </c>
      <c r="K55" s="11">
        <v>0.245562411010916</v>
      </c>
    </row>
    <row r="56" spans="1:11" x14ac:dyDescent="0.3">
      <c r="A56" s="10" t="s">
        <v>99</v>
      </c>
      <c r="B56" s="6">
        <v>45528</v>
      </c>
      <c r="C56" s="5" t="s">
        <v>20</v>
      </c>
      <c r="D56" s="5" t="s">
        <v>12</v>
      </c>
      <c r="E56" s="5" t="s">
        <v>39</v>
      </c>
      <c r="F56" s="5" t="s">
        <v>50</v>
      </c>
      <c r="G56" s="7">
        <v>10</v>
      </c>
      <c r="H56" s="8">
        <v>1274.08</v>
      </c>
      <c r="I56" s="9">
        <v>0.15</v>
      </c>
      <c r="J56" s="8">
        <v>313.77999999999997</v>
      </c>
      <c r="K56" s="11">
        <v>0.2462796684666583</v>
      </c>
    </row>
    <row r="57" spans="1:11" x14ac:dyDescent="0.3">
      <c r="A57" s="10" t="s">
        <v>100</v>
      </c>
      <c r="B57" s="6">
        <v>45016</v>
      </c>
      <c r="C57" s="5" t="s">
        <v>11</v>
      </c>
      <c r="D57" s="5" t="s">
        <v>21</v>
      </c>
      <c r="E57" s="5" t="s">
        <v>39</v>
      </c>
      <c r="F57" s="5" t="s">
        <v>48</v>
      </c>
      <c r="G57" s="7">
        <v>1</v>
      </c>
      <c r="H57" s="8">
        <v>1980.23</v>
      </c>
      <c r="I57" s="9">
        <v>0.2</v>
      </c>
      <c r="J57" s="8">
        <v>206.83</v>
      </c>
      <c r="K57" s="11">
        <v>0.1044474631734698</v>
      </c>
    </row>
    <row r="58" spans="1:11" x14ac:dyDescent="0.3">
      <c r="A58" s="10" t="s">
        <v>101</v>
      </c>
      <c r="B58" s="6">
        <v>45561</v>
      </c>
      <c r="C58" s="5" t="s">
        <v>16</v>
      </c>
      <c r="D58" s="5" t="s">
        <v>12</v>
      </c>
      <c r="E58" s="5" t="s">
        <v>39</v>
      </c>
      <c r="F58" s="5" t="s">
        <v>90</v>
      </c>
      <c r="G58" s="7">
        <v>3</v>
      </c>
      <c r="H58" s="8">
        <v>1716.47</v>
      </c>
      <c r="I58" s="9">
        <v>0.1</v>
      </c>
      <c r="J58" s="8">
        <v>482.06</v>
      </c>
      <c r="K58" s="11">
        <v>0.28084382482653347</v>
      </c>
    </row>
    <row r="59" spans="1:11" x14ac:dyDescent="0.3">
      <c r="A59" s="10" t="s">
        <v>102</v>
      </c>
      <c r="B59" s="6">
        <v>45337</v>
      </c>
      <c r="C59" s="5" t="s">
        <v>16</v>
      </c>
      <c r="D59" s="5" t="s">
        <v>21</v>
      </c>
      <c r="E59" s="5" t="s">
        <v>43</v>
      </c>
      <c r="F59" s="5" t="s">
        <v>48</v>
      </c>
      <c r="G59" s="7">
        <v>8</v>
      </c>
      <c r="H59" s="8">
        <v>4562.97</v>
      </c>
      <c r="I59" s="9">
        <v>0</v>
      </c>
      <c r="J59" s="8">
        <v>244.16</v>
      </c>
      <c r="K59" s="11">
        <v>5.3509008387081218E-2</v>
      </c>
    </row>
    <row r="60" spans="1:11" x14ac:dyDescent="0.3">
      <c r="A60" s="10" t="s">
        <v>103</v>
      </c>
      <c r="B60" s="6">
        <v>45129</v>
      </c>
      <c r="C60" s="5" t="s">
        <v>20</v>
      </c>
      <c r="D60" s="5" t="s">
        <v>33</v>
      </c>
      <c r="E60" s="5" t="s">
        <v>43</v>
      </c>
      <c r="F60" s="5" t="s">
        <v>35</v>
      </c>
      <c r="G60" s="7">
        <v>7</v>
      </c>
      <c r="H60" s="8">
        <v>135.88999999999999</v>
      </c>
      <c r="I60" s="9">
        <v>0</v>
      </c>
      <c r="J60" s="8">
        <v>29.86</v>
      </c>
      <c r="K60" s="11">
        <v>0.219736551622636</v>
      </c>
    </row>
    <row r="61" spans="1:11" x14ac:dyDescent="0.3">
      <c r="A61" s="10" t="s">
        <v>104</v>
      </c>
      <c r="B61" s="6">
        <v>45054</v>
      </c>
      <c r="C61" s="5" t="s">
        <v>30</v>
      </c>
      <c r="D61" s="5" t="s">
        <v>33</v>
      </c>
      <c r="E61" s="5" t="s">
        <v>43</v>
      </c>
      <c r="F61" s="5" t="s">
        <v>61</v>
      </c>
      <c r="G61" s="7">
        <v>4</v>
      </c>
      <c r="H61" s="8">
        <v>4933.3900000000003</v>
      </c>
      <c r="I61" s="9">
        <v>0.2</v>
      </c>
      <c r="J61" s="8">
        <v>513.73</v>
      </c>
      <c r="K61" s="11">
        <v>0.1041332633341374</v>
      </c>
    </row>
    <row r="62" spans="1:11" x14ac:dyDescent="0.3">
      <c r="A62" s="10" t="s">
        <v>105</v>
      </c>
      <c r="B62" s="6">
        <v>45525</v>
      </c>
      <c r="C62" s="5" t="s">
        <v>16</v>
      </c>
      <c r="D62" s="5" t="s">
        <v>12</v>
      </c>
      <c r="E62" s="5" t="s">
        <v>43</v>
      </c>
      <c r="F62" s="5" t="s">
        <v>71</v>
      </c>
      <c r="G62" s="7">
        <v>3</v>
      </c>
      <c r="H62" s="8">
        <v>4672.55</v>
      </c>
      <c r="I62" s="9">
        <v>0.15</v>
      </c>
      <c r="J62" s="8">
        <v>490.13</v>
      </c>
      <c r="K62" s="11">
        <v>0.1048956137441012</v>
      </c>
    </row>
    <row r="63" spans="1:11" x14ac:dyDescent="0.3">
      <c r="A63" s="10" t="s">
        <v>106</v>
      </c>
      <c r="B63" s="6">
        <v>45349</v>
      </c>
      <c r="C63" s="5" t="s">
        <v>20</v>
      </c>
      <c r="D63" s="5" t="s">
        <v>12</v>
      </c>
      <c r="E63" s="5" t="s">
        <v>13</v>
      </c>
      <c r="F63" s="5" t="s">
        <v>26</v>
      </c>
      <c r="G63" s="7">
        <v>5</v>
      </c>
      <c r="H63" s="8">
        <v>2578.6999999999998</v>
      </c>
      <c r="I63" s="9">
        <v>0.2</v>
      </c>
      <c r="J63" s="8">
        <v>686.25</v>
      </c>
      <c r="K63" s="11">
        <v>0.26612246480784901</v>
      </c>
    </row>
    <row r="64" spans="1:11" x14ac:dyDescent="0.3">
      <c r="A64" s="10" t="s">
        <v>107</v>
      </c>
      <c r="B64" s="6">
        <v>45519</v>
      </c>
      <c r="C64" s="5" t="s">
        <v>11</v>
      </c>
      <c r="D64" s="5" t="s">
        <v>33</v>
      </c>
      <c r="E64" s="5" t="s">
        <v>34</v>
      </c>
      <c r="F64" s="5" t="s">
        <v>35</v>
      </c>
      <c r="G64" s="7">
        <v>8</v>
      </c>
      <c r="H64" s="8">
        <v>931.86</v>
      </c>
      <c r="I64" s="9">
        <v>0.05</v>
      </c>
      <c r="J64" s="8">
        <v>187.79</v>
      </c>
      <c r="K64" s="11">
        <v>0.2015216878071813</v>
      </c>
    </row>
    <row r="65" spans="1:11" x14ac:dyDescent="0.3">
      <c r="A65" s="10" t="s">
        <v>108</v>
      </c>
      <c r="B65" s="6">
        <v>45112</v>
      </c>
      <c r="C65" s="5" t="s">
        <v>20</v>
      </c>
      <c r="D65" s="5" t="s">
        <v>33</v>
      </c>
      <c r="E65" s="5" t="s">
        <v>31</v>
      </c>
      <c r="F65" s="5" t="s">
        <v>37</v>
      </c>
      <c r="G65" s="7">
        <v>4</v>
      </c>
      <c r="H65" s="8">
        <v>2311.66</v>
      </c>
      <c r="I65" s="9">
        <v>0.2</v>
      </c>
      <c r="J65" s="8">
        <v>486.4</v>
      </c>
      <c r="K65" s="11">
        <v>0.2104115657146812</v>
      </c>
    </row>
    <row r="66" spans="1:11" x14ac:dyDescent="0.3">
      <c r="A66" s="10" t="s">
        <v>109</v>
      </c>
      <c r="B66" s="6">
        <v>45497</v>
      </c>
      <c r="C66" s="5" t="s">
        <v>16</v>
      </c>
      <c r="D66" s="5" t="s">
        <v>12</v>
      </c>
      <c r="E66" s="5" t="s">
        <v>17</v>
      </c>
      <c r="F66" s="5" t="s">
        <v>14</v>
      </c>
      <c r="G66" s="7">
        <v>8</v>
      </c>
      <c r="H66" s="8">
        <v>2317.5500000000002</v>
      </c>
      <c r="I66" s="9">
        <v>0.15</v>
      </c>
      <c r="J66" s="8">
        <v>215.84</v>
      </c>
      <c r="K66" s="11">
        <v>9.3132834243058391E-2</v>
      </c>
    </row>
    <row r="67" spans="1:11" x14ac:dyDescent="0.3">
      <c r="A67" s="10" t="s">
        <v>110</v>
      </c>
      <c r="B67" s="6">
        <v>45653</v>
      </c>
      <c r="C67" s="5" t="s">
        <v>30</v>
      </c>
      <c r="D67" s="5" t="s">
        <v>33</v>
      </c>
      <c r="E67" s="5" t="s">
        <v>46</v>
      </c>
      <c r="F67" s="5" t="s">
        <v>41</v>
      </c>
      <c r="G67" s="7">
        <v>7</v>
      </c>
      <c r="H67" s="8">
        <v>1823.75</v>
      </c>
      <c r="I67" s="9">
        <v>0.05</v>
      </c>
      <c r="J67" s="8">
        <v>295.60000000000002</v>
      </c>
      <c r="K67" s="11">
        <v>0.16208361891706649</v>
      </c>
    </row>
    <row r="68" spans="1:11" x14ac:dyDescent="0.3">
      <c r="A68" s="10" t="s">
        <v>111</v>
      </c>
      <c r="B68" s="6">
        <v>45067</v>
      </c>
      <c r="C68" s="5" t="s">
        <v>11</v>
      </c>
      <c r="D68" s="5" t="s">
        <v>21</v>
      </c>
      <c r="E68" s="5" t="s">
        <v>39</v>
      </c>
      <c r="F68" s="5" t="s">
        <v>44</v>
      </c>
      <c r="G68" s="7">
        <v>8</v>
      </c>
      <c r="H68" s="8">
        <v>4085.8</v>
      </c>
      <c r="I68" s="9">
        <v>0</v>
      </c>
      <c r="J68" s="8">
        <v>755.49</v>
      </c>
      <c r="K68" s="11">
        <v>0.18490626070781729</v>
      </c>
    </row>
    <row r="69" spans="1:11" x14ac:dyDescent="0.3">
      <c r="A69" s="10" t="s">
        <v>112</v>
      </c>
      <c r="B69" s="6">
        <v>45507</v>
      </c>
      <c r="C69" s="5" t="s">
        <v>30</v>
      </c>
      <c r="D69" s="5" t="s">
        <v>21</v>
      </c>
      <c r="E69" s="5" t="s">
        <v>31</v>
      </c>
      <c r="F69" s="5" t="s">
        <v>75</v>
      </c>
      <c r="G69" s="7">
        <v>6</v>
      </c>
      <c r="H69" s="8">
        <v>2940.4</v>
      </c>
      <c r="I69" s="9">
        <v>0.15</v>
      </c>
      <c r="J69" s="8">
        <v>688.39</v>
      </c>
      <c r="K69" s="11">
        <v>0.23411440620323759</v>
      </c>
    </row>
    <row r="70" spans="1:11" x14ac:dyDescent="0.3">
      <c r="A70" s="10" t="s">
        <v>113</v>
      </c>
      <c r="B70" s="6">
        <v>45089</v>
      </c>
      <c r="C70" s="5" t="s">
        <v>20</v>
      </c>
      <c r="D70" s="5" t="s">
        <v>21</v>
      </c>
      <c r="E70" s="5" t="s">
        <v>34</v>
      </c>
      <c r="F70" s="5" t="s">
        <v>22</v>
      </c>
      <c r="G70" s="7">
        <v>8</v>
      </c>
      <c r="H70" s="8">
        <v>510.16</v>
      </c>
      <c r="I70" s="9">
        <v>0.1</v>
      </c>
      <c r="J70" s="8">
        <v>100.88</v>
      </c>
      <c r="K70" s="11">
        <v>0.19774188489885519</v>
      </c>
    </row>
    <row r="71" spans="1:11" x14ac:dyDescent="0.3">
      <c r="A71" s="10" t="s">
        <v>114</v>
      </c>
      <c r="B71" s="6">
        <v>45246</v>
      </c>
      <c r="C71" s="5" t="s">
        <v>20</v>
      </c>
      <c r="D71" s="5" t="s">
        <v>21</v>
      </c>
      <c r="E71" s="5" t="s">
        <v>46</v>
      </c>
      <c r="F71" s="5" t="s">
        <v>22</v>
      </c>
      <c r="G71" s="7">
        <v>5</v>
      </c>
      <c r="H71" s="8">
        <v>4819.34</v>
      </c>
      <c r="I71" s="9">
        <v>0.1</v>
      </c>
      <c r="J71" s="8">
        <v>298.99</v>
      </c>
      <c r="K71" s="11">
        <v>6.2039615383019248E-2</v>
      </c>
    </row>
    <row r="72" spans="1:11" x14ac:dyDescent="0.3">
      <c r="A72" s="10" t="s">
        <v>115</v>
      </c>
      <c r="B72" s="6">
        <v>45036</v>
      </c>
      <c r="C72" s="5" t="s">
        <v>30</v>
      </c>
      <c r="D72" s="5" t="s">
        <v>12</v>
      </c>
      <c r="E72" s="5" t="s">
        <v>31</v>
      </c>
      <c r="F72" s="5" t="s">
        <v>26</v>
      </c>
      <c r="G72" s="7">
        <v>10</v>
      </c>
      <c r="H72" s="8">
        <v>3380.82</v>
      </c>
      <c r="I72" s="9">
        <v>0.2</v>
      </c>
      <c r="J72" s="8">
        <v>241.95</v>
      </c>
      <c r="K72" s="11">
        <v>7.1565478197597024E-2</v>
      </c>
    </row>
    <row r="73" spans="1:11" x14ac:dyDescent="0.3">
      <c r="A73" s="10" t="s">
        <v>116</v>
      </c>
      <c r="B73" s="6">
        <v>45311</v>
      </c>
      <c r="C73" s="5" t="s">
        <v>16</v>
      </c>
      <c r="D73" s="5" t="s">
        <v>21</v>
      </c>
      <c r="E73" s="5" t="s">
        <v>25</v>
      </c>
      <c r="F73" s="5" t="s">
        <v>14</v>
      </c>
      <c r="G73" s="7">
        <v>10</v>
      </c>
      <c r="H73" s="8">
        <v>1411.69</v>
      </c>
      <c r="I73" s="9">
        <v>0</v>
      </c>
      <c r="J73" s="8">
        <v>286.76</v>
      </c>
      <c r="K73" s="11">
        <v>0.2031324157570005</v>
      </c>
    </row>
    <row r="74" spans="1:11" x14ac:dyDescent="0.3">
      <c r="A74" s="10" t="s">
        <v>117</v>
      </c>
      <c r="B74" s="6">
        <v>45611</v>
      </c>
      <c r="C74" s="5" t="s">
        <v>20</v>
      </c>
      <c r="D74" s="5" t="s">
        <v>12</v>
      </c>
      <c r="E74" s="5" t="s">
        <v>13</v>
      </c>
      <c r="F74" s="5" t="s">
        <v>14</v>
      </c>
      <c r="G74" s="7">
        <v>7</v>
      </c>
      <c r="H74" s="8">
        <v>2178.9</v>
      </c>
      <c r="I74" s="9">
        <v>0.2</v>
      </c>
      <c r="J74" s="8">
        <v>305.51</v>
      </c>
      <c r="K74" s="11">
        <v>0.14021295148928359</v>
      </c>
    </row>
    <row r="75" spans="1:11" x14ac:dyDescent="0.3">
      <c r="A75" s="10" t="s">
        <v>118</v>
      </c>
      <c r="B75" s="6">
        <v>45423</v>
      </c>
      <c r="C75" s="5" t="s">
        <v>16</v>
      </c>
      <c r="D75" s="5" t="s">
        <v>12</v>
      </c>
      <c r="E75" s="5" t="s">
        <v>43</v>
      </c>
      <c r="F75" s="5" t="s">
        <v>78</v>
      </c>
      <c r="G75" s="7">
        <v>4</v>
      </c>
      <c r="H75" s="8">
        <v>410.81</v>
      </c>
      <c r="I75" s="9">
        <v>0.05</v>
      </c>
      <c r="J75" s="8">
        <v>25.55</v>
      </c>
      <c r="K75" s="11">
        <v>6.2194201699082297E-2</v>
      </c>
    </row>
    <row r="76" spans="1:11" x14ac:dyDescent="0.3">
      <c r="A76" s="10" t="s">
        <v>119</v>
      </c>
      <c r="B76" s="6">
        <v>44930</v>
      </c>
      <c r="C76" s="5" t="s">
        <v>11</v>
      </c>
      <c r="D76" s="5" t="s">
        <v>12</v>
      </c>
      <c r="E76" s="5" t="s">
        <v>39</v>
      </c>
      <c r="F76" s="5" t="s">
        <v>53</v>
      </c>
      <c r="G76" s="7">
        <v>2</v>
      </c>
      <c r="H76" s="8">
        <v>3706.72</v>
      </c>
      <c r="I76" s="9">
        <v>0</v>
      </c>
      <c r="J76" s="8">
        <v>379.47</v>
      </c>
      <c r="K76" s="11">
        <v>0.1023735269996115</v>
      </c>
    </row>
    <row r="77" spans="1:11" x14ac:dyDescent="0.3">
      <c r="A77" s="10" t="s">
        <v>120</v>
      </c>
      <c r="B77" s="6">
        <v>44967</v>
      </c>
      <c r="C77" s="5" t="s">
        <v>16</v>
      </c>
      <c r="D77" s="5" t="s">
        <v>12</v>
      </c>
      <c r="E77" s="5" t="s">
        <v>31</v>
      </c>
      <c r="F77" s="5" t="s">
        <v>48</v>
      </c>
      <c r="G77" s="7">
        <v>1</v>
      </c>
      <c r="H77" s="8">
        <v>733.11</v>
      </c>
      <c r="I77" s="9">
        <v>0.1</v>
      </c>
      <c r="J77" s="8">
        <v>219.5</v>
      </c>
      <c r="K77" s="11">
        <v>0.29940936557951742</v>
      </c>
    </row>
    <row r="78" spans="1:11" x14ac:dyDescent="0.3">
      <c r="A78" s="10" t="s">
        <v>121</v>
      </c>
      <c r="B78" s="6">
        <v>45442</v>
      </c>
      <c r="C78" s="5" t="s">
        <v>11</v>
      </c>
      <c r="D78" s="5" t="s">
        <v>12</v>
      </c>
      <c r="E78" s="5" t="s">
        <v>34</v>
      </c>
      <c r="F78" s="5" t="s">
        <v>78</v>
      </c>
      <c r="G78" s="7">
        <v>7</v>
      </c>
      <c r="H78" s="8">
        <v>2223.52</v>
      </c>
      <c r="I78" s="9">
        <v>0.15</v>
      </c>
      <c r="J78" s="8">
        <v>174.28</v>
      </c>
      <c r="K78" s="11">
        <v>7.8380225948046348E-2</v>
      </c>
    </row>
    <row r="79" spans="1:11" x14ac:dyDescent="0.3">
      <c r="A79" s="10" t="s">
        <v>122</v>
      </c>
      <c r="B79" s="6">
        <v>44976</v>
      </c>
      <c r="C79" s="5" t="s">
        <v>16</v>
      </c>
      <c r="D79" s="5" t="s">
        <v>33</v>
      </c>
      <c r="E79" s="5" t="s">
        <v>43</v>
      </c>
      <c r="F79" s="5" t="s">
        <v>37</v>
      </c>
      <c r="G79" s="7">
        <v>4</v>
      </c>
      <c r="H79" s="8">
        <v>3818.38</v>
      </c>
      <c r="I79" s="9">
        <v>0.2</v>
      </c>
      <c r="J79" s="8">
        <v>272.56</v>
      </c>
      <c r="K79" s="11">
        <v>7.1381056887999617E-2</v>
      </c>
    </row>
    <row r="80" spans="1:11" x14ac:dyDescent="0.3">
      <c r="A80" s="10" t="s">
        <v>123</v>
      </c>
      <c r="B80" s="6">
        <v>45645</v>
      </c>
      <c r="C80" s="5" t="s">
        <v>11</v>
      </c>
      <c r="D80" s="5" t="s">
        <v>33</v>
      </c>
      <c r="E80" s="5" t="s">
        <v>13</v>
      </c>
      <c r="F80" s="5" t="s">
        <v>50</v>
      </c>
      <c r="G80" s="7">
        <v>5</v>
      </c>
      <c r="H80" s="8">
        <v>3623.37</v>
      </c>
      <c r="I80" s="9">
        <v>0.15</v>
      </c>
      <c r="J80" s="8">
        <v>588.59</v>
      </c>
      <c r="K80" s="11">
        <v>0.1624426983719576</v>
      </c>
    </row>
    <row r="81" spans="1:11" x14ac:dyDescent="0.3">
      <c r="A81" s="10" t="s">
        <v>124</v>
      </c>
      <c r="B81" s="6">
        <v>45035</v>
      </c>
      <c r="C81" s="5" t="s">
        <v>20</v>
      </c>
      <c r="D81" s="5" t="s">
        <v>33</v>
      </c>
      <c r="E81" s="5" t="s">
        <v>43</v>
      </c>
      <c r="F81" s="5" t="s">
        <v>35</v>
      </c>
      <c r="G81" s="7">
        <v>2</v>
      </c>
      <c r="H81" s="8">
        <v>2955.29</v>
      </c>
      <c r="I81" s="9">
        <v>0.05</v>
      </c>
      <c r="J81" s="8">
        <v>830.77</v>
      </c>
      <c r="K81" s="11">
        <v>0.2811128518690213</v>
      </c>
    </row>
    <row r="82" spans="1:11" x14ac:dyDescent="0.3">
      <c r="A82" s="10" t="s">
        <v>125</v>
      </c>
      <c r="B82" s="6">
        <v>45396</v>
      </c>
      <c r="C82" s="5" t="s">
        <v>30</v>
      </c>
      <c r="D82" s="5" t="s">
        <v>12</v>
      </c>
      <c r="E82" s="5" t="s">
        <v>13</v>
      </c>
      <c r="F82" s="5" t="s">
        <v>35</v>
      </c>
      <c r="G82" s="7">
        <v>4</v>
      </c>
      <c r="H82" s="8">
        <v>4639.2700000000004</v>
      </c>
      <c r="I82" s="9">
        <v>0</v>
      </c>
      <c r="J82" s="8">
        <v>391.61</v>
      </c>
      <c r="K82" s="11">
        <v>8.4411987230749663E-2</v>
      </c>
    </row>
    <row r="83" spans="1:11" x14ac:dyDescent="0.3">
      <c r="A83" s="10" t="s">
        <v>126</v>
      </c>
      <c r="B83" s="6">
        <v>45172</v>
      </c>
      <c r="C83" s="5" t="s">
        <v>30</v>
      </c>
      <c r="D83" s="5" t="s">
        <v>21</v>
      </c>
      <c r="E83" s="5" t="s">
        <v>13</v>
      </c>
      <c r="F83" s="5" t="s">
        <v>78</v>
      </c>
      <c r="G83" s="7">
        <v>2</v>
      </c>
      <c r="H83" s="8">
        <v>754.81</v>
      </c>
      <c r="I83" s="9">
        <v>0.1</v>
      </c>
      <c r="J83" s="8">
        <v>157.4</v>
      </c>
      <c r="K83" s="11">
        <v>0.2085292987639274</v>
      </c>
    </row>
    <row r="84" spans="1:11" x14ac:dyDescent="0.3">
      <c r="A84" s="10" t="s">
        <v>127</v>
      </c>
      <c r="B84" s="6">
        <v>45562</v>
      </c>
      <c r="C84" s="5" t="s">
        <v>11</v>
      </c>
      <c r="D84" s="5" t="s">
        <v>21</v>
      </c>
      <c r="E84" s="5" t="s">
        <v>13</v>
      </c>
      <c r="F84" s="5" t="s">
        <v>44</v>
      </c>
      <c r="G84" s="7">
        <v>8</v>
      </c>
      <c r="H84" s="8">
        <v>3515.43</v>
      </c>
      <c r="I84" s="9">
        <v>0.2</v>
      </c>
      <c r="J84" s="8">
        <v>971.41</v>
      </c>
      <c r="K84" s="11">
        <v>0.2763275047433742</v>
      </c>
    </row>
    <row r="85" spans="1:11" x14ac:dyDescent="0.3">
      <c r="A85" s="10" t="s">
        <v>128</v>
      </c>
      <c r="B85" s="6">
        <v>45196</v>
      </c>
      <c r="C85" s="5" t="s">
        <v>16</v>
      </c>
      <c r="D85" s="5" t="s">
        <v>21</v>
      </c>
      <c r="E85" s="5" t="s">
        <v>31</v>
      </c>
      <c r="F85" s="5" t="s">
        <v>22</v>
      </c>
      <c r="G85" s="7">
        <v>5</v>
      </c>
      <c r="H85" s="8">
        <v>2408.35</v>
      </c>
      <c r="I85" s="9">
        <v>0.05</v>
      </c>
      <c r="J85" s="8">
        <v>487.25</v>
      </c>
      <c r="K85" s="11">
        <v>0.2023169389831212</v>
      </c>
    </row>
    <row r="86" spans="1:11" x14ac:dyDescent="0.3">
      <c r="A86" s="10" t="s">
        <v>129</v>
      </c>
      <c r="B86" s="6">
        <v>45543</v>
      </c>
      <c r="C86" s="5" t="s">
        <v>11</v>
      </c>
      <c r="D86" s="5" t="s">
        <v>33</v>
      </c>
      <c r="E86" s="5" t="s">
        <v>31</v>
      </c>
      <c r="F86" s="5" t="s">
        <v>28</v>
      </c>
      <c r="G86" s="7">
        <v>8</v>
      </c>
      <c r="H86" s="8">
        <v>4767.74</v>
      </c>
      <c r="I86" s="9">
        <v>0.2</v>
      </c>
      <c r="J86" s="8">
        <v>365.96</v>
      </c>
      <c r="K86" s="11">
        <v>7.6757541308880101E-2</v>
      </c>
    </row>
    <row r="87" spans="1:11" x14ac:dyDescent="0.3">
      <c r="A87" s="10" t="s">
        <v>130</v>
      </c>
      <c r="B87" s="6">
        <v>45611</v>
      </c>
      <c r="C87" s="5" t="s">
        <v>11</v>
      </c>
      <c r="D87" s="5" t="s">
        <v>21</v>
      </c>
      <c r="E87" s="5" t="s">
        <v>43</v>
      </c>
      <c r="F87" s="5" t="s">
        <v>37</v>
      </c>
      <c r="G87" s="7">
        <v>3</v>
      </c>
      <c r="H87" s="8">
        <v>2489.3200000000002</v>
      </c>
      <c r="I87" s="9">
        <v>0.05</v>
      </c>
      <c r="J87" s="8">
        <v>414.57</v>
      </c>
      <c r="K87" s="11">
        <v>0.16653945655841751</v>
      </c>
    </row>
    <row r="88" spans="1:11" x14ac:dyDescent="0.3">
      <c r="A88" s="10" t="s">
        <v>131</v>
      </c>
      <c r="B88" s="6">
        <v>45342</v>
      </c>
      <c r="C88" s="5" t="s">
        <v>16</v>
      </c>
      <c r="D88" s="5" t="s">
        <v>33</v>
      </c>
      <c r="E88" s="5" t="s">
        <v>43</v>
      </c>
      <c r="F88" s="5" t="s">
        <v>75</v>
      </c>
      <c r="G88" s="7">
        <v>3</v>
      </c>
      <c r="H88" s="8">
        <v>1127.58</v>
      </c>
      <c r="I88" s="9">
        <v>0.2</v>
      </c>
      <c r="J88" s="8">
        <v>256.36</v>
      </c>
      <c r="K88" s="11">
        <v>0.22735415668954759</v>
      </c>
    </row>
    <row r="89" spans="1:11" x14ac:dyDescent="0.3">
      <c r="A89" s="10" t="s">
        <v>132</v>
      </c>
      <c r="B89" s="6">
        <v>45591</v>
      </c>
      <c r="C89" s="5" t="s">
        <v>20</v>
      </c>
      <c r="D89" s="5" t="s">
        <v>33</v>
      </c>
      <c r="E89" s="5" t="s">
        <v>46</v>
      </c>
      <c r="F89" s="5" t="s">
        <v>90</v>
      </c>
      <c r="G89" s="7">
        <v>1</v>
      </c>
      <c r="H89" s="8">
        <v>2618.0300000000002</v>
      </c>
      <c r="I89" s="9">
        <v>0</v>
      </c>
      <c r="J89" s="8">
        <v>484.98</v>
      </c>
      <c r="K89" s="11">
        <v>0.1852461583709889</v>
      </c>
    </row>
    <row r="90" spans="1:11" x14ac:dyDescent="0.3">
      <c r="A90" s="10" t="s">
        <v>133</v>
      </c>
      <c r="B90" s="6">
        <v>45431</v>
      </c>
      <c r="C90" s="5" t="s">
        <v>16</v>
      </c>
      <c r="D90" s="5" t="s">
        <v>33</v>
      </c>
      <c r="E90" s="5" t="s">
        <v>46</v>
      </c>
      <c r="F90" s="5" t="s">
        <v>48</v>
      </c>
      <c r="G90" s="7">
        <v>7</v>
      </c>
      <c r="H90" s="8">
        <v>550.30999999999995</v>
      </c>
      <c r="I90" s="9">
        <v>0.2</v>
      </c>
      <c r="J90" s="8">
        <v>72.05</v>
      </c>
      <c r="K90" s="11">
        <v>0.1309262052297796</v>
      </c>
    </row>
    <row r="91" spans="1:11" x14ac:dyDescent="0.3">
      <c r="A91" s="10" t="s">
        <v>134</v>
      </c>
      <c r="B91" s="6">
        <v>45007</v>
      </c>
      <c r="C91" s="5" t="s">
        <v>11</v>
      </c>
      <c r="D91" s="5" t="s">
        <v>21</v>
      </c>
      <c r="E91" s="5" t="s">
        <v>46</v>
      </c>
      <c r="F91" s="5" t="s">
        <v>48</v>
      </c>
      <c r="G91" s="7">
        <v>6</v>
      </c>
      <c r="H91" s="8">
        <v>2199.46</v>
      </c>
      <c r="I91" s="9">
        <v>0</v>
      </c>
      <c r="J91" s="8">
        <v>380.91</v>
      </c>
      <c r="K91" s="11">
        <v>0.1731834177479927</v>
      </c>
    </row>
    <row r="92" spans="1:11" x14ac:dyDescent="0.3">
      <c r="A92" s="10" t="s">
        <v>135</v>
      </c>
      <c r="B92" s="6">
        <v>45655</v>
      </c>
      <c r="C92" s="5" t="s">
        <v>20</v>
      </c>
      <c r="D92" s="5" t="s">
        <v>33</v>
      </c>
      <c r="E92" s="5" t="s">
        <v>13</v>
      </c>
      <c r="F92" s="5" t="s">
        <v>50</v>
      </c>
      <c r="G92" s="7">
        <v>5</v>
      </c>
      <c r="H92" s="8">
        <v>4962.71</v>
      </c>
      <c r="I92" s="9">
        <v>0.15</v>
      </c>
      <c r="J92" s="8">
        <v>1231.82</v>
      </c>
      <c r="K92" s="11">
        <v>0.24821518887865701</v>
      </c>
    </row>
    <row r="93" spans="1:11" x14ac:dyDescent="0.3">
      <c r="A93" s="10" t="s">
        <v>136</v>
      </c>
      <c r="B93" s="6">
        <v>45226</v>
      </c>
      <c r="C93" s="5" t="s">
        <v>30</v>
      </c>
      <c r="D93" s="5" t="s">
        <v>21</v>
      </c>
      <c r="E93" s="5" t="s">
        <v>13</v>
      </c>
      <c r="F93" s="5" t="s">
        <v>26</v>
      </c>
      <c r="G93" s="7">
        <v>5</v>
      </c>
      <c r="H93" s="8">
        <v>3439.13</v>
      </c>
      <c r="I93" s="9">
        <v>0.15</v>
      </c>
      <c r="J93" s="8">
        <v>725.52</v>
      </c>
      <c r="K93" s="11">
        <v>0.21096033008348039</v>
      </c>
    </row>
    <row r="94" spans="1:11" x14ac:dyDescent="0.3">
      <c r="A94" s="10" t="s">
        <v>137</v>
      </c>
      <c r="B94" s="6">
        <v>45202</v>
      </c>
      <c r="C94" s="5" t="s">
        <v>20</v>
      </c>
      <c r="D94" s="5" t="s">
        <v>33</v>
      </c>
      <c r="E94" s="5" t="s">
        <v>31</v>
      </c>
      <c r="F94" s="5" t="s">
        <v>78</v>
      </c>
      <c r="G94" s="7">
        <v>8</v>
      </c>
      <c r="H94" s="8">
        <v>4702.9399999999996</v>
      </c>
      <c r="I94" s="9">
        <v>0.15</v>
      </c>
      <c r="J94" s="8">
        <v>455.04</v>
      </c>
      <c r="K94" s="11">
        <v>9.67564969997491E-2</v>
      </c>
    </row>
    <row r="95" spans="1:11" x14ac:dyDescent="0.3">
      <c r="A95" s="10" t="s">
        <v>138</v>
      </c>
      <c r="B95" s="6">
        <v>45561</v>
      </c>
      <c r="C95" s="5" t="s">
        <v>16</v>
      </c>
      <c r="D95" s="5" t="s">
        <v>21</v>
      </c>
      <c r="E95" s="5" t="s">
        <v>13</v>
      </c>
      <c r="F95" s="5" t="s">
        <v>22</v>
      </c>
      <c r="G95" s="7">
        <v>1</v>
      </c>
      <c r="H95" s="8">
        <v>749.9</v>
      </c>
      <c r="I95" s="9">
        <v>0.2</v>
      </c>
      <c r="J95" s="8">
        <v>61.79</v>
      </c>
      <c r="K95" s="11">
        <v>8.2397653020402722E-2</v>
      </c>
    </row>
    <row r="96" spans="1:11" x14ac:dyDescent="0.3">
      <c r="A96" s="10" t="s">
        <v>139</v>
      </c>
      <c r="B96" s="6">
        <v>45539</v>
      </c>
      <c r="C96" s="5" t="s">
        <v>11</v>
      </c>
      <c r="D96" s="5" t="s">
        <v>12</v>
      </c>
      <c r="E96" s="5" t="s">
        <v>25</v>
      </c>
      <c r="F96" s="5" t="s">
        <v>90</v>
      </c>
      <c r="G96" s="7">
        <v>1</v>
      </c>
      <c r="H96" s="8">
        <v>4488.63</v>
      </c>
      <c r="I96" s="9">
        <v>0.1</v>
      </c>
      <c r="J96" s="8">
        <v>708.56</v>
      </c>
      <c r="K96" s="11">
        <v>0.1578566288600308</v>
      </c>
    </row>
    <row r="97" spans="1:11" x14ac:dyDescent="0.3">
      <c r="A97" s="10" t="s">
        <v>140</v>
      </c>
      <c r="B97" s="6">
        <v>45401</v>
      </c>
      <c r="C97" s="5" t="s">
        <v>20</v>
      </c>
      <c r="D97" s="5" t="s">
        <v>12</v>
      </c>
      <c r="E97" s="5" t="s">
        <v>46</v>
      </c>
      <c r="F97" s="5" t="s">
        <v>48</v>
      </c>
      <c r="G97" s="7">
        <v>1</v>
      </c>
      <c r="H97" s="8">
        <v>1928.84</v>
      </c>
      <c r="I97" s="9">
        <v>0.05</v>
      </c>
      <c r="J97" s="8">
        <v>210.42</v>
      </c>
      <c r="K97" s="11">
        <v>0.1090914746687128</v>
      </c>
    </row>
    <row r="98" spans="1:11" x14ac:dyDescent="0.3">
      <c r="A98" s="10" t="s">
        <v>141</v>
      </c>
      <c r="B98" s="6">
        <v>45115</v>
      </c>
      <c r="C98" s="5" t="s">
        <v>30</v>
      </c>
      <c r="D98" s="5" t="s">
        <v>33</v>
      </c>
      <c r="E98" s="5" t="s">
        <v>25</v>
      </c>
      <c r="F98" s="5" t="s">
        <v>84</v>
      </c>
      <c r="G98" s="7">
        <v>8</v>
      </c>
      <c r="H98" s="8">
        <v>4660.95</v>
      </c>
      <c r="I98" s="9">
        <v>0.2</v>
      </c>
      <c r="J98" s="8">
        <v>267.39999999999998</v>
      </c>
      <c r="K98" s="11">
        <v>5.7370278591274311E-2</v>
      </c>
    </row>
    <row r="99" spans="1:11" x14ac:dyDescent="0.3">
      <c r="A99" s="10" t="s">
        <v>142</v>
      </c>
      <c r="B99" s="6">
        <v>45204</v>
      </c>
      <c r="C99" s="5" t="s">
        <v>11</v>
      </c>
      <c r="D99" s="5" t="s">
        <v>33</v>
      </c>
      <c r="E99" s="5" t="s">
        <v>13</v>
      </c>
      <c r="F99" s="5" t="s">
        <v>41</v>
      </c>
      <c r="G99" s="7">
        <v>8</v>
      </c>
      <c r="H99" s="8">
        <v>1137.68</v>
      </c>
      <c r="I99" s="9">
        <v>0</v>
      </c>
      <c r="J99" s="8">
        <v>111.67</v>
      </c>
      <c r="K99" s="11">
        <v>9.8155896209830534E-2</v>
      </c>
    </row>
    <row r="100" spans="1:11" x14ac:dyDescent="0.3">
      <c r="A100" s="10" t="s">
        <v>143</v>
      </c>
      <c r="B100" s="6">
        <v>45197</v>
      </c>
      <c r="C100" s="5" t="s">
        <v>30</v>
      </c>
      <c r="D100" s="5" t="s">
        <v>33</v>
      </c>
      <c r="E100" s="5" t="s">
        <v>13</v>
      </c>
      <c r="F100" s="5" t="s">
        <v>14</v>
      </c>
      <c r="G100" s="7">
        <v>5</v>
      </c>
      <c r="H100" s="8">
        <v>3831.41</v>
      </c>
      <c r="I100" s="9">
        <v>0.1</v>
      </c>
      <c r="J100" s="8">
        <v>304.27999999999997</v>
      </c>
      <c r="K100" s="11">
        <v>7.9417238040303692E-2</v>
      </c>
    </row>
    <row r="101" spans="1:11" x14ac:dyDescent="0.3">
      <c r="A101" s="10" t="s">
        <v>144</v>
      </c>
      <c r="B101" s="6">
        <v>45376</v>
      </c>
      <c r="C101" s="5" t="s">
        <v>30</v>
      </c>
      <c r="D101" s="5" t="s">
        <v>21</v>
      </c>
      <c r="E101" s="5" t="s">
        <v>43</v>
      </c>
      <c r="F101" s="5" t="s">
        <v>50</v>
      </c>
      <c r="G101" s="7">
        <v>5</v>
      </c>
      <c r="H101" s="8">
        <v>3012.06</v>
      </c>
      <c r="I101" s="9">
        <v>0.2</v>
      </c>
      <c r="J101" s="8">
        <v>510.11</v>
      </c>
      <c r="K101" s="11">
        <v>0.169355856125044</v>
      </c>
    </row>
    <row r="102" spans="1:11" x14ac:dyDescent="0.3">
      <c r="A102" s="10" t="s">
        <v>145</v>
      </c>
      <c r="B102" s="6">
        <v>45158</v>
      </c>
      <c r="C102" s="5" t="s">
        <v>20</v>
      </c>
      <c r="D102" s="5" t="s">
        <v>21</v>
      </c>
      <c r="E102" s="5" t="s">
        <v>39</v>
      </c>
      <c r="F102" s="5" t="s">
        <v>90</v>
      </c>
      <c r="G102" s="7">
        <v>1</v>
      </c>
      <c r="H102" s="8">
        <v>2545.61</v>
      </c>
      <c r="I102" s="9">
        <v>0.05</v>
      </c>
      <c r="J102" s="8">
        <v>336.62</v>
      </c>
      <c r="K102" s="11">
        <v>0.1322354956179462</v>
      </c>
    </row>
    <row r="103" spans="1:11" x14ac:dyDescent="0.3">
      <c r="A103" s="10" t="s">
        <v>146</v>
      </c>
      <c r="B103" s="6">
        <v>45506</v>
      </c>
      <c r="C103" s="5" t="s">
        <v>30</v>
      </c>
      <c r="D103" s="5" t="s">
        <v>33</v>
      </c>
      <c r="E103" s="5" t="s">
        <v>46</v>
      </c>
      <c r="F103" s="5" t="s">
        <v>37</v>
      </c>
      <c r="G103" s="7">
        <v>3</v>
      </c>
      <c r="H103" s="8">
        <v>3947.04</v>
      </c>
      <c r="I103" s="9">
        <v>0.15</v>
      </c>
      <c r="J103" s="8">
        <v>940.16</v>
      </c>
      <c r="K103" s="11">
        <v>0.23819368438120719</v>
      </c>
    </row>
    <row r="104" spans="1:11" x14ac:dyDescent="0.3">
      <c r="A104" s="10" t="s">
        <v>147</v>
      </c>
      <c r="B104" s="6">
        <v>45146</v>
      </c>
      <c r="C104" s="5" t="s">
        <v>11</v>
      </c>
      <c r="D104" s="5" t="s">
        <v>21</v>
      </c>
      <c r="E104" s="5" t="s">
        <v>46</v>
      </c>
      <c r="F104" s="5" t="s">
        <v>71</v>
      </c>
      <c r="G104" s="7">
        <v>10</v>
      </c>
      <c r="H104" s="8">
        <v>1306.42</v>
      </c>
      <c r="I104" s="9">
        <v>0.05</v>
      </c>
      <c r="J104" s="8">
        <v>75.760000000000005</v>
      </c>
      <c r="K104" s="11">
        <v>5.7990539030327151E-2</v>
      </c>
    </row>
    <row r="105" spans="1:11" x14ac:dyDescent="0.3">
      <c r="A105" s="10" t="s">
        <v>148</v>
      </c>
      <c r="B105" s="6">
        <v>45074</v>
      </c>
      <c r="C105" s="5" t="s">
        <v>30</v>
      </c>
      <c r="D105" s="5" t="s">
        <v>33</v>
      </c>
      <c r="E105" s="5" t="s">
        <v>46</v>
      </c>
      <c r="F105" s="5" t="s">
        <v>44</v>
      </c>
      <c r="G105" s="7">
        <v>3</v>
      </c>
      <c r="H105" s="8">
        <v>4771.6899999999996</v>
      </c>
      <c r="I105" s="9">
        <v>0.15</v>
      </c>
      <c r="J105" s="8">
        <v>1297.29</v>
      </c>
      <c r="K105" s="11">
        <v>0.2718722297550763</v>
      </c>
    </row>
    <row r="106" spans="1:11" x14ac:dyDescent="0.3">
      <c r="A106" s="10" t="s">
        <v>149</v>
      </c>
      <c r="B106" s="6">
        <v>45041</v>
      </c>
      <c r="C106" s="5" t="s">
        <v>11</v>
      </c>
      <c r="D106" s="5" t="s">
        <v>21</v>
      </c>
      <c r="E106" s="5" t="s">
        <v>43</v>
      </c>
      <c r="F106" s="5" t="s">
        <v>53</v>
      </c>
      <c r="G106" s="7">
        <v>5</v>
      </c>
      <c r="H106" s="8">
        <v>353.03</v>
      </c>
      <c r="I106" s="9">
        <v>0.2</v>
      </c>
      <c r="J106" s="8">
        <v>83.03</v>
      </c>
      <c r="K106" s="11">
        <v>0.2351924765600657</v>
      </c>
    </row>
    <row r="107" spans="1:11" x14ac:dyDescent="0.3">
      <c r="A107" s="10" t="s">
        <v>150</v>
      </c>
      <c r="B107" s="6">
        <v>45336</v>
      </c>
      <c r="C107" s="5" t="s">
        <v>16</v>
      </c>
      <c r="D107" s="5" t="s">
        <v>21</v>
      </c>
      <c r="E107" s="5" t="s">
        <v>17</v>
      </c>
      <c r="F107" s="5" t="s">
        <v>22</v>
      </c>
      <c r="G107" s="7">
        <v>8</v>
      </c>
      <c r="H107" s="8">
        <v>1330.44</v>
      </c>
      <c r="I107" s="9">
        <v>0.1</v>
      </c>
      <c r="J107" s="8">
        <v>241.97</v>
      </c>
      <c r="K107" s="11">
        <v>0.1818721625928264</v>
      </c>
    </row>
    <row r="108" spans="1:11" x14ac:dyDescent="0.3">
      <c r="A108" s="10" t="s">
        <v>151</v>
      </c>
      <c r="B108" s="6">
        <v>45252</v>
      </c>
      <c r="C108" s="5" t="s">
        <v>20</v>
      </c>
      <c r="D108" s="5" t="s">
        <v>33</v>
      </c>
      <c r="E108" s="5" t="s">
        <v>39</v>
      </c>
      <c r="F108" s="5" t="s">
        <v>26</v>
      </c>
      <c r="G108" s="7">
        <v>7</v>
      </c>
      <c r="H108" s="8">
        <v>2700.62</v>
      </c>
      <c r="I108" s="9">
        <v>0.2</v>
      </c>
      <c r="J108" s="8">
        <v>251.76</v>
      </c>
      <c r="K108" s="11">
        <v>9.3223037672830689E-2</v>
      </c>
    </row>
    <row r="109" spans="1:11" x14ac:dyDescent="0.3">
      <c r="A109" s="10" t="s">
        <v>152</v>
      </c>
      <c r="B109" s="6">
        <v>45567</v>
      </c>
      <c r="C109" s="5" t="s">
        <v>16</v>
      </c>
      <c r="D109" s="5" t="s">
        <v>12</v>
      </c>
      <c r="E109" s="5" t="s">
        <v>17</v>
      </c>
      <c r="F109" s="5" t="s">
        <v>90</v>
      </c>
      <c r="G109" s="7">
        <v>7</v>
      </c>
      <c r="H109" s="8">
        <v>4529.0600000000004</v>
      </c>
      <c r="I109" s="9">
        <v>0.1</v>
      </c>
      <c r="J109" s="8">
        <v>315.89</v>
      </c>
      <c r="K109" s="11">
        <v>6.9747364795343839E-2</v>
      </c>
    </row>
    <row r="110" spans="1:11" x14ac:dyDescent="0.3">
      <c r="A110" s="10" t="s">
        <v>153</v>
      </c>
      <c r="B110" s="6">
        <v>45394</v>
      </c>
      <c r="C110" s="5" t="s">
        <v>30</v>
      </c>
      <c r="D110" s="5" t="s">
        <v>33</v>
      </c>
      <c r="E110" s="5" t="s">
        <v>43</v>
      </c>
      <c r="F110" s="5" t="s">
        <v>48</v>
      </c>
      <c r="G110" s="7">
        <v>7</v>
      </c>
      <c r="H110" s="8">
        <v>4373.3500000000004</v>
      </c>
      <c r="I110" s="9">
        <v>0.05</v>
      </c>
      <c r="J110" s="8">
        <v>941.32</v>
      </c>
      <c r="K110" s="11">
        <v>0.21524003338401909</v>
      </c>
    </row>
    <row r="111" spans="1:11" x14ac:dyDescent="0.3">
      <c r="A111" s="10" t="s">
        <v>154</v>
      </c>
      <c r="B111" s="6">
        <v>44948</v>
      </c>
      <c r="C111" s="5" t="s">
        <v>11</v>
      </c>
      <c r="D111" s="5" t="s">
        <v>33</v>
      </c>
      <c r="E111" s="5" t="s">
        <v>25</v>
      </c>
      <c r="F111" s="5" t="s">
        <v>50</v>
      </c>
      <c r="G111" s="7">
        <v>5</v>
      </c>
      <c r="H111" s="8">
        <v>3624.5</v>
      </c>
      <c r="I111" s="9">
        <v>0</v>
      </c>
      <c r="J111" s="8">
        <v>709.03</v>
      </c>
      <c r="K111" s="11">
        <v>0.1956214650296593</v>
      </c>
    </row>
    <row r="112" spans="1:11" x14ac:dyDescent="0.3">
      <c r="A112" s="10" t="s">
        <v>155</v>
      </c>
      <c r="B112" s="6">
        <v>45031</v>
      </c>
      <c r="C112" s="5" t="s">
        <v>20</v>
      </c>
      <c r="D112" s="5" t="s">
        <v>33</v>
      </c>
      <c r="E112" s="5" t="s">
        <v>39</v>
      </c>
      <c r="F112" s="5" t="s">
        <v>35</v>
      </c>
      <c r="G112" s="7">
        <v>1</v>
      </c>
      <c r="H112" s="8">
        <v>2566.2800000000002</v>
      </c>
      <c r="I112" s="9">
        <v>0</v>
      </c>
      <c r="J112" s="8">
        <v>163.37</v>
      </c>
      <c r="K112" s="11">
        <v>6.3660239724426013E-2</v>
      </c>
    </row>
    <row r="113" spans="1:11" x14ac:dyDescent="0.3">
      <c r="A113" s="10" t="s">
        <v>156</v>
      </c>
      <c r="B113" s="6">
        <v>45110</v>
      </c>
      <c r="C113" s="5" t="s">
        <v>20</v>
      </c>
      <c r="D113" s="5" t="s">
        <v>12</v>
      </c>
      <c r="E113" s="5" t="s">
        <v>39</v>
      </c>
      <c r="F113" s="5" t="s">
        <v>53</v>
      </c>
      <c r="G113" s="7">
        <v>8</v>
      </c>
      <c r="H113" s="8">
        <v>1491.01</v>
      </c>
      <c r="I113" s="9">
        <v>0.15</v>
      </c>
      <c r="J113" s="8">
        <v>348.63</v>
      </c>
      <c r="K113" s="11">
        <v>0.23382136940731449</v>
      </c>
    </row>
    <row r="114" spans="1:11" x14ac:dyDescent="0.3">
      <c r="A114" s="10" t="s">
        <v>157</v>
      </c>
      <c r="B114" s="6">
        <v>44931</v>
      </c>
      <c r="C114" s="5" t="s">
        <v>11</v>
      </c>
      <c r="D114" s="5" t="s">
        <v>33</v>
      </c>
      <c r="E114" s="5" t="s">
        <v>17</v>
      </c>
      <c r="F114" s="5" t="s">
        <v>90</v>
      </c>
      <c r="G114" s="7">
        <v>3</v>
      </c>
      <c r="H114" s="8">
        <v>4517.12</v>
      </c>
      <c r="I114" s="9">
        <v>0.2</v>
      </c>
      <c r="J114" s="8">
        <v>1066.48</v>
      </c>
      <c r="K114" s="11">
        <v>0.23609733635590821</v>
      </c>
    </row>
    <row r="115" spans="1:11" x14ac:dyDescent="0.3">
      <c r="A115" s="10" t="s">
        <v>158</v>
      </c>
      <c r="B115" s="6">
        <v>45626</v>
      </c>
      <c r="C115" s="5" t="s">
        <v>16</v>
      </c>
      <c r="D115" s="5" t="s">
        <v>33</v>
      </c>
      <c r="E115" s="5" t="s">
        <v>13</v>
      </c>
      <c r="F115" s="5" t="s">
        <v>75</v>
      </c>
      <c r="G115" s="7">
        <v>4</v>
      </c>
      <c r="H115" s="8">
        <v>1701.65</v>
      </c>
      <c r="I115" s="9">
        <v>0</v>
      </c>
      <c r="J115" s="8">
        <v>111.96</v>
      </c>
      <c r="K115" s="11">
        <v>6.5794963711691593E-2</v>
      </c>
    </row>
    <row r="116" spans="1:11" x14ac:dyDescent="0.3">
      <c r="A116" s="10" t="s">
        <v>159</v>
      </c>
      <c r="B116" s="6">
        <v>45476</v>
      </c>
      <c r="C116" s="5" t="s">
        <v>16</v>
      </c>
      <c r="D116" s="5" t="s">
        <v>12</v>
      </c>
      <c r="E116" s="5" t="s">
        <v>46</v>
      </c>
      <c r="F116" s="5" t="s">
        <v>90</v>
      </c>
      <c r="G116" s="7">
        <v>9</v>
      </c>
      <c r="H116" s="8">
        <v>2489.25</v>
      </c>
      <c r="I116" s="9">
        <v>0</v>
      </c>
      <c r="J116" s="8">
        <v>484.64</v>
      </c>
      <c r="K116" s="11">
        <v>0.19469318067691069</v>
      </c>
    </row>
    <row r="117" spans="1:11" x14ac:dyDescent="0.3">
      <c r="A117" s="10" t="s">
        <v>160</v>
      </c>
      <c r="B117" s="6">
        <v>45223</v>
      </c>
      <c r="C117" s="5" t="s">
        <v>20</v>
      </c>
      <c r="D117" s="5" t="s">
        <v>33</v>
      </c>
      <c r="E117" s="5" t="s">
        <v>17</v>
      </c>
      <c r="F117" s="5" t="s">
        <v>53</v>
      </c>
      <c r="G117" s="7">
        <v>10</v>
      </c>
      <c r="H117" s="8">
        <v>4781.78</v>
      </c>
      <c r="I117" s="9">
        <v>0.2</v>
      </c>
      <c r="J117" s="8">
        <v>1014.51</v>
      </c>
      <c r="K117" s="11">
        <v>0.21216157999740681</v>
      </c>
    </row>
    <row r="118" spans="1:11" x14ac:dyDescent="0.3">
      <c r="A118" s="10" t="s">
        <v>161</v>
      </c>
      <c r="B118" s="6">
        <v>45449</v>
      </c>
      <c r="C118" s="5" t="s">
        <v>30</v>
      </c>
      <c r="D118" s="5" t="s">
        <v>12</v>
      </c>
      <c r="E118" s="5" t="s">
        <v>34</v>
      </c>
      <c r="F118" s="5" t="s">
        <v>14</v>
      </c>
      <c r="G118" s="7">
        <v>7</v>
      </c>
      <c r="H118" s="8">
        <v>307.89</v>
      </c>
      <c r="I118" s="9">
        <v>0.15</v>
      </c>
      <c r="J118" s="8">
        <v>52.87</v>
      </c>
      <c r="K118" s="11">
        <v>0.17171717171717171</v>
      </c>
    </row>
    <row r="119" spans="1:11" x14ac:dyDescent="0.3">
      <c r="A119" s="10" t="s">
        <v>162</v>
      </c>
      <c r="B119" s="6">
        <v>45454</v>
      </c>
      <c r="C119" s="5" t="s">
        <v>11</v>
      </c>
      <c r="D119" s="5" t="s">
        <v>12</v>
      </c>
      <c r="E119" s="5" t="s">
        <v>46</v>
      </c>
      <c r="F119" s="5" t="s">
        <v>18</v>
      </c>
      <c r="G119" s="7">
        <v>2</v>
      </c>
      <c r="H119" s="8">
        <v>4003.29</v>
      </c>
      <c r="I119" s="9">
        <v>0.05</v>
      </c>
      <c r="J119" s="8">
        <v>213.49</v>
      </c>
      <c r="K119" s="11">
        <v>5.3328637195906373E-2</v>
      </c>
    </row>
    <row r="120" spans="1:11" x14ac:dyDescent="0.3">
      <c r="A120" s="10" t="s">
        <v>163</v>
      </c>
      <c r="B120" s="6">
        <v>45489</v>
      </c>
      <c r="C120" s="5" t="s">
        <v>20</v>
      </c>
      <c r="D120" s="5" t="s">
        <v>21</v>
      </c>
      <c r="E120" s="5" t="s">
        <v>43</v>
      </c>
      <c r="F120" s="5" t="s">
        <v>55</v>
      </c>
      <c r="G120" s="7">
        <v>8</v>
      </c>
      <c r="H120" s="8">
        <v>3658.04</v>
      </c>
      <c r="I120" s="9">
        <v>0</v>
      </c>
      <c r="J120" s="8">
        <v>233.85</v>
      </c>
      <c r="K120" s="11">
        <v>6.3927677116707313E-2</v>
      </c>
    </row>
    <row r="121" spans="1:11" x14ac:dyDescent="0.3">
      <c r="A121" s="10" t="s">
        <v>164</v>
      </c>
      <c r="B121" s="6">
        <v>45258</v>
      </c>
      <c r="C121" s="5" t="s">
        <v>30</v>
      </c>
      <c r="D121" s="5" t="s">
        <v>33</v>
      </c>
      <c r="E121" s="5" t="s">
        <v>39</v>
      </c>
      <c r="F121" s="5" t="s">
        <v>37</v>
      </c>
      <c r="G121" s="7">
        <v>6</v>
      </c>
      <c r="H121" s="8">
        <v>3971.89</v>
      </c>
      <c r="I121" s="9">
        <v>0.1</v>
      </c>
      <c r="J121" s="8">
        <v>393.18</v>
      </c>
      <c r="K121" s="11">
        <v>9.8990656840949778E-2</v>
      </c>
    </row>
    <row r="122" spans="1:11" x14ac:dyDescent="0.3">
      <c r="A122" s="10" t="s">
        <v>165</v>
      </c>
      <c r="B122" s="6">
        <v>45119</v>
      </c>
      <c r="C122" s="5" t="s">
        <v>30</v>
      </c>
      <c r="D122" s="5" t="s">
        <v>33</v>
      </c>
      <c r="E122" s="5" t="s">
        <v>13</v>
      </c>
      <c r="F122" s="5" t="s">
        <v>14</v>
      </c>
      <c r="G122" s="7">
        <v>9</v>
      </c>
      <c r="H122" s="8">
        <v>4656.1000000000004</v>
      </c>
      <c r="I122" s="9">
        <v>0</v>
      </c>
      <c r="J122" s="8">
        <v>701.97</v>
      </c>
      <c r="K122" s="11">
        <v>0.1507635145293271</v>
      </c>
    </row>
    <row r="123" spans="1:11" x14ac:dyDescent="0.3">
      <c r="A123" s="10" t="s">
        <v>166</v>
      </c>
      <c r="B123" s="6">
        <v>45557</v>
      </c>
      <c r="C123" s="5" t="s">
        <v>11</v>
      </c>
      <c r="D123" s="5" t="s">
        <v>33</v>
      </c>
      <c r="E123" s="5" t="s">
        <v>34</v>
      </c>
      <c r="F123" s="5" t="s">
        <v>26</v>
      </c>
      <c r="G123" s="7">
        <v>1</v>
      </c>
      <c r="H123" s="8">
        <v>3153.32</v>
      </c>
      <c r="I123" s="9">
        <v>0.2</v>
      </c>
      <c r="J123" s="8">
        <v>587.88</v>
      </c>
      <c r="K123" s="11">
        <v>0.18643207793690461</v>
      </c>
    </row>
    <row r="124" spans="1:11" x14ac:dyDescent="0.3">
      <c r="A124" s="10" t="s">
        <v>167</v>
      </c>
      <c r="B124" s="6">
        <v>45182</v>
      </c>
      <c r="C124" s="5" t="s">
        <v>20</v>
      </c>
      <c r="D124" s="5" t="s">
        <v>12</v>
      </c>
      <c r="E124" s="5" t="s">
        <v>31</v>
      </c>
      <c r="F124" s="5" t="s">
        <v>44</v>
      </c>
      <c r="G124" s="7">
        <v>5</v>
      </c>
      <c r="H124" s="8">
        <v>4498.99</v>
      </c>
      <c r="I124" s="9">
        <v>0.05</v>
      </c>
      <c r="J124" s="8">
        <v>423.37</v>
      </c>
      <c r="K124" s="11">
        <v>9.4103343194805955E-2</v>
      </c>
    </row>
    <row r="125" spans="1:11" x14ac:dyDescent="0.3">
      <c r="A125" s="10" t="s">
        <v>168</v>
      </c>
      <c r="B125" s="6">
        <v>45505</v>
      </c>
      <c r="C125" s="5" t="s">
        <v>11</v>
      </c>
      <c r="D125" s="5" t="s">
        <v>33</v>
      </c>
      <c r="E125" s="5" t="s">
        <v>25</v>
      </c>
      <c r="F125" s="5" t="s">
        <v>26</v>
      </c>
      <c r="G125" s="7">
        <v>4</v>
      </c>
      <c r="H125" s="8">
        <v>3854.65</v>
      </c>
      <c r="I125" s="9">
        <v>0.2</v>
      </c>
      <c r="J125" s="8">
        <v>634.58000000000004</v>
      </c>
      <c r="K125" s="11">
        <v>0.16462713865072059</v>
      </c>
    </row>
    <row r="126" spans="1:11" x14ac:dyDescent="0.3">
      <c r="A126" s="10" t="s">
        <v>169</v>
      </c>
      <c r="B126" s="6">
        <v>45195</v>
      </c>
      <c r="C126" s="5" t="s">
        <v>20</v>
      </c>
      <c r="D126" s="5" t="s">
        <v>21</v>
      </c>
      <c r="E126" s="5" t="s">
        <v>17</v>
      </c>
      <c r="F126" s="5" t="s">
        <v>26</v>
      </c>
      <c r="G126" s="7">
        <v>7</v>
      </c>
      <c r="H126" s="8">
        <v>4687.99</v>
      </c>
      <c r="I126" s="9">
        <v>0</v>
      </c>
      <c r="J126" s="8">
        <v>569.57000000000005</v>
      </c>
      <c r="K126" s="11">
        <v>0.121495566330133</v>
      </c>
    </row>
    <row r="127" spans="1:11" x14ac:dyDescent="0.3">
      <c r="A127" s="10" t="s">
        <v>170</v>
      </c>
      <c r="B127" s="6">
        <v>45611</v>
      </c>
      <c r="C127" s="5" t="s">
        <v>30</v>
      </c>
      <c r="D127" s="5" t="s">
        <v>33</v>
      </c>
      <c r="E127" s="5" t="s">
        <v>39</v>
      </c>
      <c r="F127" s="5" t="s">
        <v>84</v>
      </c>
      <c r="G127" s="7">
        <v>1</v>
      </c>
      <c r="H127" s="8">
        <v>4005.78</v>
      </c>
      <c r="I127" s="9">
        <v>0.05</v>
      </c>
      <c r="J127" s="8">
        <v>925.56</v>
      </c>
      <c r="K127" s="11">
        <v>0.23105612390096311</v>
      </c>
    </row>
    <row r="128" spans="1:11" x14ac:dyDescent="0.3">
      <c r="A128" s="10" t="s">
        <v>171</v>
      </c>
      <c r="B128" s="6">
        <v>44975</v>
      </c>
      <c r="C128" s="5" t="s">
        <v>11</v>
      </c>
      <c r="D128" s="5" t="s">
        <v>33</v>
      </c>
      <c r="E128" s="5" t="s">
        <v>13</v>
      </c>
      <c r="F128" s="5" t="s">
        <v>37</v>
      </c>
      <c r="G128" s="7">
        <v>8</v>
      </c>
      <c r="H128" s="8">
        <v>3332.27</v>
      </c>
      <c r="I128" s="9">
        <v>0.05</v>
      </c>
      <c r="J128" s="8">
        <v>818.11</v>
      </c>
      <c r="K128" s="11">
        <v>0.24551131811047719</v>
      </c>
    </row>
    <row r="129" spans="1:11" x14ac:dyDescent="0.3">
      <c r="A129" s="10" t="s">
        <v>172</v>
      </c>
      <c r="B129" s="6">
        <v>45189</v>
      </c>
      <c r="C129" s="5" t="s">
        <v>30</v>
      </c>
      <c r="D129" s="5" t="s">
        <v>33</v>
      </c>
      <c r="E129" s="5" t="s">
        <v>43</v>
      </c>
      <c r="F129" s="5" t="s">
        <v>35</v>
      </c>
      <c r="G129" s="7">
        <v>6</v>
      </c>
      <c r="H129" s="8">
        <v>1333.93</v>
      </c>
      <c r="I129" s="9">
        <v>0</v>
      </c>
      <c r="J129" s="8">
        <v>211.53</v>
      </c>
      <c r="K129" s="11">
        <v>0.1585765369996926</v>
      </c>
    </row>
    <row r="130" spans="1:11" x14ac:dyDescent="0.3">
      <c r="A130" s="10" t="s">
        <v>173</v>
      </c>
      <c r="B130" s="6">
        <v>45507</v>
      </c>
      <c r="C130" s="5" t="s">
        <v>20</v>
      </c>
      <c r="D130" s="5" t="s">
        <v>21</v>
      </c>
      <c r="E130" s="5" t="s">
        <v>43</v>
      </c>
      <c r="F130" s="5" t="s">
        <v>61</v>
      </c>
      <c r="G130" s="7">
        <v>7</v>
      </c>
      <c r="H130" s="8">
        <v>2732.83</v>
      </c>
      <c r="I130" s="9">
        <v>0.05</v>
      </c>
      <c r="J130" s="8">
        <v>344.5</v>
      </c>
      <c r="K130" s="11">
        <v>0.12605979881661139</v>
      </c>
    </row>
    <row r="131" spans="1:11" x14ac:dyDescent="0.3">
      <c r="A131" s="10" t="s">
        <v>174</v>
      </c>
      <c r="B131" s="6">
        <v>45572</v>
      </c>
      <c r="C131" s="5" t="s">
        <v>11</v>
      </c>
      <c r="D131" s="5" t="s">
        <v>33</v>
      </c>
      <c r="E131" s="5" t="s">
        <v>39</v>
      </c>
      <c r="F131" s="5" t="s">
        <v>78</v>
      </c>
      <c r="G131" s="7">
        <v>7</v>
      </c>
      <c r="H131" s="8">
        <v>2252.37</v>
      </c>
      <c r="I131" s="9">
        <v>0.2</v>
      </c>
      <c r="J131" s="8">
        <v>324.07</v>
      </c>
      <c r="K131" s="11">
        <v>0.14387955797670901</v>
      </c>
    </row>
    <row r="132" spans="1:11" x14ac:dyDescent="0.3">
      <c r="A132" s="10" t="s">
        <v>175</v>
      </c>
      <c r="B132" s="6">
        <v>45467</v>
      </c>
      <c r="C132" s="5" t="s">
        <v>20</v>
      </c>
      <c r="D132" s="5" t="s">
        <v>12</v>
      </c>
      <c r="E132" s="5" t="s">
        <v>46</v>
      </c>
      <c r="F132" s="5" t="s">
        <v>26</v>
      </c>
      <c r="G132" s="7">
        <v>5</v>
      </c>
      <c r="H132" s="8">
        <v>1962.37</v>
      </c>
      <c r="I132" s="9">
        <v>0.05</v>
      </c>
      <c r="J132" s="8">
        <v>214.02</v>
      </c>
      <c r="K132" s="11">
        <v>0.109062001559339</v>
      </c>
    </row>
    <row r="133" spans="1:11" x14ac:dyDescent="0.3">
      <c r="A133" s="10" t="s">
        <v>176</v>
      </c>
      <c r="B133" s="6">
        <v>44980</v>
      </c>
      <c r="C133" s="5" t="s">
        <v>20</v>
      </c>
      <c r="D133" s="5" t="s">
        <v>33</v>
      </c>
      <c r="E133" s="5" t="s">
        <v>17</v>
      </c>
      <c r="F133" s="5" t="s">
        <v>55</v>
      </c>
      <c r="G133" s="7">
        <v>6</v>
      </c>
      <c r="H133" s="8">
        <v>647.57000000000005</v>
      </c>
      <c r="I133" s="9">
        <v>0.15</v>
      </c>
      <c r="J133" s="8">
        <v>176.27</v>
      </c>
      <c r="K133" s="11">
        <v>0.27220223296323182</v>
      </c>
    </row>
    <row r="134" spans="1:11" x14ac:dyDescent="0.3">
      <c r="A134" s="10" t="s">
        <v>177</v>
      </c>
      <c r="B134" s="6">
        <v>45586</v>
      </c>
      <c r="C134" s="5" t="s">
        <v>20</v>
      </c>
      <c r="D134" s="5" t="s">
        <v>21</v>
      </c>
      <c r="E134" s="5" t="s">
        <v>46</v>
      </c>
      <c r="F134" s="5" t="s">
        <v>22</v>
      </c>
      <c r="G134" s="7">
        <v>2</v>
      </c>
      <c r="H134" s="8">
        <v>574.95000000000005</v>
      </c>
      <c r="I134" s="9">
        <v>0.05</v>
      </c>
      <c r="J134" s="8">
        <v>37.229999999999997</v>
      </c>
      <c r="K134" s="11">
        <v>6.475345682233237E-2</v>
      </c>
    </row>
    <row r="135" spans="1:11" x14ac:dyDescent="0.3">
      <c r="A135" s="10" t="s">
        <v>178</v>
      </c>
      <c r="B135" s="6">
        <v>45639</v>
      </c>
      <c r="C135" s="5" t="s">
        <v>16</v>
      </c>
      <c r="D135" s="5" t="s">
        <v>33</v>
      </c>
      <c r="E135" s="5" t="s">
        <v>13</v>
      </c>
      <c r="F135" s="5" t="s">
        <v>26</v>
      </c>
      <c r="G135" s="7">
        <v>10</v>
      </c>
      <c r="H135" s="8">
        <v>3326.62</v>
      </c>
      <c r="I135" s="9">
        <v>0.1</v>
      </c>
      <c r="J135" s="8">
        <v>453.4</v>
      </c>
      <c r="K135" s="11">
        <v>0.13629449711719399</v>
      </c>
    </row>
    <row r="136" spans="1:11" x14ac:dyDescent="0.3">
      <c r="A136" s="10" t="s">
        <v>179</v>
      </c>
      <c r="B136" s="6">
        <v>45299</v>
      </c>
      <c r="C136" s="5" t="s">
        <v>11</v>
      </c>
      <c r="D136" s="5" t="s">
        <v>33</v>
      </c>
      <c r="E136" s="5" t="s">
        <v>43</v>
      </c>
      <c r="F136" s="5" t="s">
        <v>22</v>
      </c>
      <c r="G136" s="7">
        <v>9</v>
      </c>
      <c r="H136" s="8">
        <v>1531.63</v>
      </c>
      <c r="I136" s="9">
        <v>0.1</v>
      </c>
      <c r="J136" s="8">
        <v>185.64</v>
      </c>
      <c r="K136" s="11">
        <v>0.12120420728243771</v>
      </c>
    </row>
    <row r="137" spans="1:11" x14ac:dyDescent="0.3">
      <c r="A137" s="10" t="s">
        <v>180</v>
      </c>
      <c r="B137" s="6">
        <v>45247</v>
      </c>
      <c r="C137" s="5" t="s">
        <v>16</v>
      </c>
      <c r="D137" s="5" t="s">
        <v>33</v>
      </c>
      <c r="E137" s="5" t="s">
        <v>43</v>
      </c>
      <c r="F137" s="5" t="s">
        <v>90</v>
      </c>
      <c r="G137" s="7">
        <v>1</v>
      </c>
      <c r="H137" s="8">
        <v>1824.33</v>
      </c>
      <c r="I137" s="9">
        <v>0</v>
      </c>
      <c r="J137" s="8">
        <v>428.49</v>
      </c>
      <c r="K137" s="11">
        <v>0.23487526927694011</v>
      </c>
    </row>
    <row r="138" spans="1:11" x14ac:dyDescent="0.3">
      <c r="A138" s="10" t="s">
        <v>181</v>
      </c>
      <c r="B138" s="6">
        <v>44971</v>
      </c>
      <c r="C138" s="5" t="s">
        <v>16</v>
      </c>
      <c r="D138" s="5" t="s">
        <v>12</v>
      </c>
      <c r="E138" s="5" t="s">
        <v>31</v>
      </c>
      <c r="F138" s="5" t="s">
        <v>66</v>
      </c>
      <c r="G138" s="7">
        <v>10</v>
      </c>
      <c r="H138" s="8">
        <v>3410.51</v>
      </c>
      <c r="I138" s="9">
        <v>0</v>
      </c>
      <c r="J138" s="8">
        <v>339.48</v>
      </c>
      <c r="K138" s="11">
        <v>9.9539365080295913E-2</v>
      </c>
    </row>
    <row r="139" spans="1:11" x14ac:dyDescent="0.3">
      <c r="A139" s="10" t="s">
        <v>182</v>
      </c>
      <c r="B139" s="6">
        <v>45423</v>
      </c>
      <c r="C139" s="5" t="s">
        <v>16</v>
      </c>
      <c r="D139" s="5" t="s">
        <v>12</v>
      </c>
      <c r="E139" s="5" t="s">
        <v>43</v>
      </c>
      <c r="F139" s="5" t="s">
        <v>48</v>
      </c>
      <c r="G139" s="7">
        <v>10</v>
      </c>
      <c r="H139" s="8">
        <v>3185.29</v>
      </c>
      <c r="I139" s="9">
        <v>0</v>
      </c>
      <c r="J139" s="8">
        <v>740.93</v>
      </c>
      <c r="K139" s="11">
        <v>0.232609903650845</v>
      </c>
    </row>
    <row r="140" spans="1:11" x14ac:dyDescent="0.3">
      <c r="A140" s="10" t="s">
        <v>183</v>
      </c>
      <c r="B140" s="6">
        <v>45053</v>
      </c>
      <c r="C140" s="5" t="s">
        <v>11</v>
      </c>
      <c r="D140" s="5" t="s">
        <v>33</v>
      </c>
      <c r="E140" s="5" t="s">
        <v>17</v>
      </c>
      <c r="F140" s="5" t="s">
        <v>66</v>
      </c>
      <c r="G140" s="7">
        <v>2</v>
      </c>
      <c r="H140" s="8">
        <v>1098.21</v>
      </c>
      <c r="I140" s="9">
        <v>0</v>
      </c>
      <c r="J140" s="8">
        <v>97.88</v>
      </c>
      <c r="K140" s="11">
        <v>8.912685187714553E-2</v>
      </c>
    </row>
    <row r="141" spans="1:11" x14ac:dyDescent="0.3">
      <c r="A141" s="10" t="s">
        <v>184</v>
      </c>
      <c r="B141" s="6">
        <v>45119</v>
      </c>
      <c r="C141" s="5" t="s">
        <v>16</v>
      </c>
      <c r="D141" s="5" t="s">
        <v>12</v>
      </c>
      <c r="E141" s="5" t="s">
        <v>31</v>
      </c>
      <c r="F141" s="5" t="s">
        <v>35</v>
      </c>
      <c r="G141" s="7">
        <v>8</v>
      </c>
      <c r="H141" s="8">
        <v>1504.08</v>
      </c>
      <c r="I141" s="9">
        <v>0</v>
      </c>
      <c r="J141" s="8">
        <v>113.31</v>
      </c>
      <c r="K141" s="11">
        <v>7.5335088559119204E-2</v>
      </c>
    </row>
    <row r="142" spans="1:11" x14ac:dyDescent="0.3">
      <c r="A142" s="10" t="s">
        <v>185</v>
      </c>
      <c r="B142" s="6">
        <v>45327</v>
      </c>
      <c r="C142" s="5" t="s">
        <v>30</v>
      </c>
      <c r="D142" s="5" t="s">
        <v>33</v>
      </c>
      <c r="E142" s="5" t="s">
        <v>17</v>
      </c>
      <c r="F142" s="5" t="s">
        <v>41</v>
      </c>
      <c r="G142" s="7">
        <v>4</v>
      </c>
      <c r="H142" s="8">
        <v>1615.41</v>
      </c>
      <c r="I142" s="9">
        <v>0.15</v>
      </c>
      <c r="J142" s="8">
        <v>464.85</v>
      </c>
      <c r="K142" s="11">
        <v>0.28775976377514068</v>
      </c>
    </row>
    <row r="143" spans="1:11" x14ac:dyDescent="0.3">
      <c r="A143" s="10" t="s">
        <v>186</v>
      </c>
      <c r="B143" s="6">
        <v>45395</v>
      </c>
      <c r="C143" s="5" t="s">
        <v>30</v>
      </c>
      <c r="D143" s="5" t="s">
        <v>12</v>
      </c>
      <c r="E143" s="5" t="s">
        <v>39</v>
      </c>
      <c r="F143" s="5" t="s">
        <v>75</v>
      </c>
      <c r="G143" s="7">
        <v>1</v>
      </c>
      <c r="H143" s="8">
        <v>1780.37</v>
      </c>
      <c r="I143" s="9">
        <v>0.05</v>
      </c>
      <c r="J143" s="8">
        <v>191.78</v>
      </c>
      <c r="K143" s="11">
        <v>0.1077191819677932</v>
      </c>
    </row>
    <row r="144" spans="1:11" x14ac:dyDescent="0.3">
      <c r="A144" s="10" t="s">
        <v>187</v>
      </c>
      <c r="B144" s="6">
        <v>45201</v>
      </c>
      <c r="C144" s="5" t="s">
        <v>16</v>
      </c>
      <c r="D144" s="5" t="s">
        <v>12</v>
      </c>
      <c r="E144" s="5" t="s">
        <v>31</v>
      </c>
      <c r="F144" s="5" t="s">
        <v>75</v>
      </c>
      <c r="G144" s="7">
        <v>1</v>
      </c>
      <c r="H144" s="8">
        <v>2029.62</v>
      </c>
      <c r="I144" s="9">
        <v>0.05</v>
      </c>
      <c r="J144" s="8">
        <v>590.49</v>
      </c>
      <c r="K144" s="11">
        <v>0.29093623436899518</v>
      </c>
    </row>
    <row r="145" spans="1:11" x14ac:dyDescent="0.3">
      <c r="A145" s="10" t="s">
        <v>188</v>
      </c>
      <c r="B145" s="6">
        <v>44987</v>
      </c>
      <c r="C145" s="5" t="s">
        <v>30</v>
      </c>
      <c r="D145" s="5" t="s">
        <v>12</v>
      </c>
      <c r="E145" s="5" t="s">
        <v>25</v>
      </c>
      <c r="F145" s="5" t="s">
        <v>44</v>
      </c>
      <c r="G145" s="7">
        <v>3</v>
      </c>
      <c r="H145" s="8">
        <v>1547.25</v>
      </c>
      <c r="I145" s="9">
        <v>0</v>
      </c>
      <c r="J145" s="8">
        <v>82.28</v>
      </c>
      <c r="K145" s="11">
        <v>5.3178219421554367E-2</v>
      </c>
    </row>
    <row r="146" spans="1:11" x14ac:dyDescent="0.3">
      <c r="A146" s="10" t="s">
        <v>189</v>
      </c>
      <c r="B146" s="6">
        <v>45378</v>
      </c>
      <c r="C146" s="5" t="s">
        <v>11</v>
      </c>
      <c r="D146" s="5" t="s">
        <v>21</v>
      </c>
      <c r="E146" s="5" t="s">
        <v>46</v>
      </c>
      <c r="F146" s="5" t="s">
        <v>41</v>
      </c>
      <c r="G146" s="7">
        <v>3</v>
      </c>
      <c r="H146" s="8">
        <v>3587.3</v>
      </c>
      <c r="I146" s="9">
        <v>0.2</v>
      </c>
      <c r="J146" s="8">
        <v>681.58</v>
      </c>
      <c r="K146" s="11">
        <v>0.18999804867170289</v>
      </c>
    </row>
    <row r="147" spans="1:11" x14ac:dyDescent="0.3">
      <c r="A147" s="10" t="s">
        <v>190</v>
      </c>
      <c r="B147" s="6">
        <v>45472</v>
      </c>
      <c r="C147" s="5" t="s">
        <v>16</v>
      </c>
      <c r="D147" s="5" t="s">
        <v>33</v>
      </c>
      <c r="E147" s="5" t="s">
        <v>31</v>
      </c>
      <c r="F147" s="5" t="s">
        <v>14</v>
      </c>
      <c r="G147" s="7">
        <v>6</v>
      </c>
      <c r="H147" s="8">
        <v>3044.05</v>
      </c>
      <c r="I147" s="9">
        <v>0.15</v>
      </c>
      <c r="J147" s="8">
        <v>849.27</v>
      </c>
      <c r="K147" s="11">
        <v>0.27899344623117228</v>
      </c>
    </row>
    <row r="148" spans="1:11" x14ac:dyDescent="0.3">
      <c r="A148" s="10" t="s">
        <v>191</v>
      </c>
      <c r="B148" s="6">
        <v>45186</v>
      </c>
      <c r="C148" s="5" t="s">
        <v>20</v>
      </c>
      <c r="D148" s="5" t="s">
        <v>12</v>
      </c>
      <c r="E148" s="5" t="s">
        <v>39</v>
      </c>
      <c r="F148" s="5" t="s">
        <v>14</v>
      </c>
      <c r="G148" s="7">
        <v>3</v>
      </c>
      <c r="H148" s="8">
        <v>3717.27</v>
      </c>
      <c r="I148" s="9">
        <v>0.05</v>
      </c>
      <c r="J148" s="8">
        <v>789.93</v>
      </c>
      <c r="K148" s="11">
        <v>0.21250272377309151</v>
      </c>
    </row>
    <row r="149" spans="1:11" x14ac:dyDescent="0.3">
      <c r="A149" s="10" t="s">
        <v>192</v>
      </c>
      <c r="B149" s="6">
        <v>45275</v>
      </c>
      <c r="C149" s="5" t="s">
        <v>16</v>
      </c>
      <c r="D149" s="5" t="s">
        <v>33</v>
      </c>
      <c r="E149" s="5" t="s">
        <v>17</v>
      </c>
      <c r="F149" s="5" t="s">
        <v>37</v>
      </c>
      <c r="G149" s="7">
        <v>9</v>
      </c>
      <c r="H149" s="8">
        <v>1169.97</v>
      </c>
      <c r="I149" s="9">
        <v>0.15</v>
      </c>
      <c r="J149" s="8">
        <v>271.56</v>
      </c>
      <c r="K149" s="11">
        <v>0.23210851560296419</v>
      </c>
    </row>
    <row r="150" spans="1:11" x14ac:dyDescent="0.3">
      <c r="A150" s="10" t="s">
        <v>193</v>
      </c>
      <c r="B150" s="6">
        <v>44985</v>
      </c>
      <c r="C150" s="5" t="s">
        <v>16</v>
      </c>
      <c r="D150" s="5" t="s">
        <v>12</v>
      </c>
      <c r="E150" s="5" t="s">
        <v>13</v>
      </c>
      <c r="F150" s="5" t="s">
        <v>84</v>
      </c>
      <c r="G150" s="7">
        <v>5</v>
      </c>
      <c r="H150" s="8">
        <v>2137.9299999999998</v>
      </c>
      <c r="I150" s="9">
        <v>0</v>
      </c>
      <c r="J150" s="8">
        <v>277.89</v>
      </c>
      <c r="K150" s="11">
        <v>0.12998086934558201</v>
      </c>
    </row>
    <row r="151" spans="1:11" x14ac:dyDescent="0.3">
      <c r="A151" s="10" t="s">
        <v>194</v>
      </c>
      <c r="B151" s="6">
        <v>45144</v>
      </c>
      <c r="C151" s="5" t="s">
        <v>11</v>
      </c>
      <c r="D151" s="5" t="s">
        <v>12</v>
      </c>
      <c r="E151" s="5" t="s">
        <v>46</v>
      </c>
      <c r="F151" s="5" t="s">
        <v>90</v>
      </c>
      <c r="G151" s="7">
        <v>2</v>
      </c>
      <c r="H151" s="8">
        <v>569.61</v>
      </c>
      <c r="I151" s="9">
        <v>0.15</v>
      </c>
      <c r="J151" s="8">
        <v>135.32</v>
      </c>
      <c r="K151" s="11">
        <v>0.23756605396674921</v>
      </c>
    </row>
    <row r="152" spans="1:11" x14ac:dyDescent="0.3">
      <c r="A152" s="10" t="s">
        <v>195</v>
      </c>
      <c r="B152" s="6">
        <v>45507</v>
      </c>
      <c r="C152" s="5" t="s">
        <v>16</v>
      </c>
      <c r="D152" s="5" t="s">
        <v>12</v>
      </c>
      <c r="E152" s="5" t="s">
        <v>43</v>
      </c>
      <c r="F152" s="5" t="s">
        <v>22</v>
      </c>
      <c r="G152" s="7">
        <v>7</v>
      </c>
      <c r="H152" s="8">
        <v>3848.36</v>
      </c>
      <c r="I152" s="9">
        <v>0.05</v>
      </c>
      <c r="J152" s="8">
        <v>725.17</v>
      </c>
      <c r="K152" s="11">
        <v>0.18843611304555699</v>
      </c>
    </row>
    <row r="153" spans="1:11" x14ac:dyDescent="0.3">
      <c r="A153" s="10" t="s">
        <v>196</v>
      </c>
      <c r="B153" s="6">
        <v>45514</v>
      </c>
      <c r="C153" s="5" t="s">
        <v>30</v>
      </c>
      <c r="D153" s="5" t="s">
        <v>21</v>
      </c>
      <c r="E153" s="5" t="s">
        <v>17</v>
      </c>
      <c r="F153" s="5" t="s">
        <v>22</v>
      </c>
      <c r="G153" s="7">
        <v>8</v>
      </c>
      <c r="H153" s="8">
        <v>3203.73</v>
      </c>
      <c r="I153" s="9">
        <v>0.2</v>
      </c>
      <c r="J153" s="8">
        <v>199.85</v>
      </c>
      <c r="K153" s="11">
        <v>6.2380412831293523E-2</v>
      </c>
    </row>
    <row r="154" spans="1:11" x14ac:dyDescent="0.3">
      <c r="A154" s="10" t="s">
        <v>197</v>
      </c>
      <c r="B154" s="6">
        <v>44958</v>
      </c>
      <c r="C154" s="5" t="s">
        <v>20</v>
      </c>
      <c r="D154" s="5" t="s">
        <v>21</v>
      </c>
      <c r="E154" s="5" t="s">
        <v>25</v>
      </c>
      <c r="F154" s="5" t="s">
        <v>41</v>
      </c>
      <c r="G154" s="7">
        <v>9</v>
      </c>
      <c r="H154" s="8">
        <v>1052.43</v>
      </c>
      <c r="I154" s="9">
        <v>0.15</v>
      </c>
      <c r="J154" s="8">
        <v>111.62</v>
      </c>
      <c r="K154" s="11">
        <v>0.10605931035793351</v>
      </c>
    </row>
    <row r="155" spans="1:11" x14ac:dyDescent="0.3">
      <c r="A155" s="10" t="s">
        <v>198</v>
      </c>
      <c r="B155" s="6">
        <v>45484</v>
      </c>
      <c r="C155" s="5" t="s">
        <v>11</v>
      </c>
      <c r="D155" s="5" t="s">
        <v>12</v>
      </c>
      <c r="E155" s="5" t="s">
        <v>17</v>
      </c>
      <c r="F155" s="5" t="s">
        <v>37</v>
      </c>
      <c r="G155" s="7">
        <v>4</v>
      </c>
      <c r="H155" s="8">
        <v>3169.85</v>
      </c>
      <c r="I155" s="9">
        <v>0.05</v>
      </c>
      <c r="J155" s="8">
        <v>729.31</v>
      </c>
      <c r="K155" s="11">
        <v>0.23007713298736529</v>
      </c>
    </row>
    <row r="156" spans="1:11" x14ac:dyDescent="0.3">
      <c r="A156" s="10" t="s">
        <v>199</v>
      </c>
      <c r="B156" s="6">
        <v>45176</v>
      </c>
      <c r="C156" s="5" t="s">
        <v>11</v>
      </c>
      <c r="D156" s="5" t="s">
        <v>33</v>
      </c>
      <c r="E156" s="5" t="s">
        <v>34</v>
      </c>
      <c r="F156" s="5" t="s">
        <v>35</v>
      </c>
      <c r="G156" s="7">
        <v>3</v>
      </c>
      <c r="H156" s="8">
        <v>4522.95</v>
      </c>
      <c r="I156" s="9">
        <v>0.05</v>
      </c>
      <c r="J156" s="8">
        <v>910.26</v>
      </c>
      <c r="K156" s="11">
        <v>0.20125360660630781</v>
      </c>
    </row>
    <row r="157" spans="1:11" x14ac:dyDescent="0.3">
      <c r="A157" s="10" t="s">
        <v>200</v>
      </c>
      <c r="B157" s="6">
        <v>45062</v>
      </c>
      <c r="C157" s="5" t="s">
        <v>16</v>
      </c>
      <c r="D157" s="5" t="s">
        <v>33</v>
      </c>
      <c r="E157" s="5" t="s">
        <v>43</v>
      </c>
      <c r="F157" s="5" t="s">
        <v>90</v>
      </c>
      <c r="G157" s="7">
        <v>10</v>
      </c>
      <c r="H157" s="8">
        <v>661.45</v>
      </c>
      <c r="I157" s="9">
        <v>0.15</v>
      </c>
      <c r="J157" s="8">
        <v>61.62</v>
      </c>
      <c r="K157" s="11">
        <v>9.3158968931892044E-2</v>
      </c>
    </row>
    <row r="158" spans="1:11" x14ac:dyDescent="0.3">
      <c r="A158" s="10" t="s">
        <v>201</v>
      </c>
      <c r="B158" s="6">
        <v>45176</v>
      </c>
      <c r="C158" s="5" t="s">
        <v>20</v>
      </c>
      <c r="D158" s="5" t="s">
        <v>12</v>
      </c>
      <c r="E158" s="5" t="s">
        <v>43</v>
      </c>
      <c r="F158" s="5" t="s">
        <v>14</v>
      </c>
      <c r="G158" s="7">
        <v>10</v>
      </c>
      <c r="H158" s="8">
        <v>4361.24</v>
      </c>
      <c r="I158" s="9">
        <v>0.05</v>
      </c>
      <c r="J158" s="8">
        <v>953.95</v>
      </c>
      <c r="K158" s="11">
        <v>0.218733662903211</v>
      </c>
    </row>
    <row r="159" spans="1:11" x14ac:dyDescent="0.3">
      <c r="A159" s="10" t="s">
        <v>202</v>
      </c>
      <c r="B159" s="6">
        <v>45087</v>
      </c>
      <c r="C159" s="5" t="s">
        <v>20</v>
      </c>
      <c r="D159" s="5" t="s">
        <v>12</v>
      </c>
      <c r="E159" s="5" t="s">
        <v>43</v>
      </c>
      <c r="F159" s="5" t="s">
        <v>35</v>
      </c>
      <c r="G159" s="7">
        <v>7</v>
      </c>
      <c r="H159" s="8">
        <v>4849.16</v>
      </c>
      <c r="I159" s="9">
        <v>0</v>
      </c>
      <c r="J159" s="8">
        <v>939.84</v>
      </c>
      <c r="K159" s="11">
        <v>0.19381501125968209</v>
      </c>
    </row>
    <row r="160" spans="1:11" x14ac:dyDescent="0.3">
      <c r="A160" s="10" t="s">
        <v>203</v>
      </c>
      <c r="B160" s="6">
        <v>44929</v>
      </c>
      <c r="C160" s="5" t="s">
        <v>30</v>
      </c>
      <c r="D160" s="5" t="s">
        <v>33</v>
      </c>
      <c r="E160" s="5" t="s">
        <v>25</v>
      </c>
      <c r="F160" s="5" t="s">
        <v>50</v>
      </c>
      <c r="G160" s="7">
        <v>4</v>
      </c>
      <c r="H160" s="8">
        <v>1587.78</v>
      </c>
      <c r="I160" s="9">
        <v>0</v>
      </c>
      <c r="J160" s="8">
        <v>404.72</v>
      </c>
      <c r="K160" s="11">
        <v>0.25489677411228262</v>
      </c>
    </row>
    <row r="161" spans="1:11" x14ac:dyDescent="0.3">
      <c r="A161" s="10" t="s">
        <v>204</v>
      </c>
      <c r="B161" s="6">
        <v>44994</v>
      </c>
      <c r="C161" s="5" t="s">
        <v>30</v>
      </c>
      <c r="D161" s="5" t="s">
        <v>33</v>
      </c>
      <c r="E161" s="5" t="s">
        <v>25</v>
      </c>
      <c r="F161" s="5" t="s">
        <v>35</v>
      </c>
      <c r="G161" s="7">
        <v>5</v>
      </c>
      <c r="H161" s="8">
        <v>1460.99</v>
      </c>
      <c r="I161" s="9">
        <v>0.05</v>
      </c>
      <c r="J161" s="8">
        <v>205.74</v>
      </c>
      <c r="K161" s="11">
        <v>0.14082231911238269</v>
      </c>
    </row>
    <row r="162" spans="1:11" x14ac:dyDescent="0.3">
      <c r="A162" s="10" t="s">
        <v>205</v>
      </c>
      <c r="B162" s="6">
        <v>45649</v>
      </c>
      <c r="C162" s="5" t="s">
        <v>30</v>
      </c>
      <c r="D162" s="5" t="s">
        <v>12</v>
      </c>
      <c r="E162" s="5" t="s">
        <v>43</v>
      </c>
      <c r="F162" s="5" t="s">
        <v>84</v>
      </c>
      <c r="G162" s="7">
        <v>10</v>
      </c>
      <c r="H162" s="8">
        <v>2513.5700000000002</v>
      </c>
      <c r="I162" s="9">
        <v>0.05</v>
      </c>
      <c r="J162" s="8">
        <v>703.51</v>
      </c>
      <c r="K162" s="11">
        <v>0.27988478538493061</v>
      </c>
    </row>
    <row r="163" spans="1:11" x14ac:dyDescent="0.3">
      <c r="A163" s="10" t="s">
        <v>206</v>
      </c>
      <c r="B163" s="6">
        <v>45011</v>
      </c>
      <c r="C163" s="5" t="s">
        <v>30</v>
      </c>
      <c r="D163" s="5" t="s">
        <v>33</v>
      </c>
      <c r="E163" s="5" t="s">
        <v>34</v>
      </c>
      <c r="F163" s="5" t="s">
        <v>53</v>
      </c>
      <c r="G163" s="7">
        <v>3</v>
      </c>
      <c r="H163" s="8">
        <v>1761.42</v>
      </c>
      <c r="I163" s="9">
        <v>0.15</v>
      </c>
      <c r="J163" s="8">
        <v>415.11</v>
      </c>
      <c r="K163" s="11">
        <v>0.23566781346867871</v>
      </c>
    </row>
    <row r="164" spans="1:11" x14ac:dyDescent="0.3">
      <c r="A164" s="10" t="s">
        <v>207</v>
      </c>
      <c r="B164" s="6">
        <v>44942</v>
      </c>
      <c r="C164" s="5" t="s">
        <v>16</v>
      </c>
      <c r="D164" s="5" t="s">
        <v>12</v>
      </c>
      <c r="E164" s="5" t="s">
        <v>39</v>
      </c>
      <c r="F164" s="5" t="s">
        <v>28</v>
      </c>
      <c r="G164" s="7">
        <v>10</v>
      </c>
      <c r="H164" s="8">
        <v>1209.4000000000001</v>
      </c>
      <c r="I164" s="9">
        <v>0.15</v>
      </c>
      <c r="J164" s="8">
        <v>211.65</v>
      </c>
      <c r="K164" s="11">
        <v>0.17500413428146189</v>
      </c>
    </row>
    <row r="165" spans="1:11" x14ac:dyDescent="0.3">
      <c r="A165" s="10" t="s">
        <v>208</v>
      </c>
      <c r="B165" s="6">
        <v>45526</v>
      </c>
      <c r="C165" s="5" t="s">
        <v>16</v>
      </c>
      <c r="D165" s="5" t="s">
        <v>33</v>
      </c>
      <c r="E165" s="5" t="s">
        <v>17</v>
      </c>
      <c r="F165" s="5" t="s">
        <v>50</v>
      </c>
      <c r="G165" s="7">
        <v>10</v>
      </c>
      <c r="H165" s="8">
        <v>874.21</v>
      </c>
      <c r="I165" s="9">
        <v>0.1</v>
      </c>
      <c r="J165" s="8">
        <v>202.03</v>
      </c>
      <c r="K165" s="11">
        <v>0.2311000789284039</v>
      </c>
    </row>
    <row r="166" spans="1:11" x14ac:dyDescent="0.3">
      <c r="A166" s="10" t="s">
        <v>209</v>
      </c>
      <c r="B166" s="6">
        <v>45625</v>
      </c>
      <c r="C166" s="5" t="s">
        <v>11</v>
      </c>
      <c r="D166" s="5" t="s">
        <v>12</v>
      </c>
      <c r="E166" s="5" t="s">
        <v>17</v>
      </c>
      <c r="F166" s="5" t="s">
        <v>53</v>
      </c>
      <c r="G166" s="7">
        <v>4</v>
      </c>
      <c r="H166" s="8">
        <v>3822.5</v>
      </c>
      <c r="I166" s="9">
        <v>0.2</v>
      </c>
      <c r="J166" s="8">
        <v>311.83999999999997</v>
      </c>
      <c r="K166" s="11">
        <v>8.1580117724002615E-2</v>
      </c>
    </row>
    <row r="167" spans="1:11" x14ac:dyDescent="0.3">
      <c r="A167" s="10" t="s">
        <v>210</v>
      </c>
      <c r="B167" s="6">
        <v>45087</v>
      </c>
      <c r="C167" s="5" t="s">
        <v>16</v>
      </c>
      <c r="D167" s="5" t="s">
        <v>33</v>
      </c>
      <c r="E167" s="5" t="s">
        <v>17</v>
      </c>
      <c r="F167" s="5" t="s">
        <v>75</v>
      </c>
      <c r="G167" s="7">
        <v>7</v>
      </c>
      <c r="H167" s="8">
        <v>2737.41</v>
      </c>
      <c r="I167" s="9">
        <v>0</v>
      </c>
      <c r="J167" s="8">
        <v>795.3</v>
      </c>
      <c r="K167" s="11">
        <v>0.29053009961971349</v>
      </c>
    </row>
    <row r="168" spans="1:11" x14ac:dyDescent="0.3">
      <c r="A168" s="10" t="s">
        <v>211</v>
      </c>
      <c r="B168" s="6">
        <v>45241</v>
      </c>
      <c r="C168" s="5" t="s">
        <v>20</v>
      </c>
      <c r="D168" s="5" t="s">
        <v>33</v>
      </c>
      <c r="E168" s="5" t="s">
        <v>34</v>
      </c>
      <c r="F168" s="5" t="s">
        <v>14</v>
      </c>
      <c r="G168" s="7">
        <v>5</v>
      </c>
      <c r="H168" s="8">
        <v>533.82000000000005</v>
      </c>
      <c r="I168" s="9">
        <v>0.15</v>
      </c>
      <c r="J168" s="8">
        <v>86.17</v>
      </c>
      <c r="K168" s="11">
        <v>0.16142145292420659</v>
      </c>
    </row>
    <row r="169" spans="1:11" x14ac:dyDescent="0.3">
      <c r="A169" s="10" t="s">
        <v>212</v>
      </c>
      <c r="B169" s="6">
        <v>45338</v>
      </c>
      <c r="C169" s="5" t="s">
        <v>30</v>
      </c>
      <c r="D169" s="5" t="s">
        <v>12</v>
      </c>
      <c r="E169" s="5" t="s">
        <v>43</v>
      </c>
      <c r="F169" s="5" t="s">
        <v>41</v>
      </c>
      <c r="G169" s="7">
        <v>8</v>
      </c>
      <c r="H169" s="8">
        <v>1195.1199999999999</v>
      </c>
      <c r="I169" s="9">
        <v>0.1</v>
      </c>
      <c r="J169" s="8">
        <v>136.34</v>
      </c>
      <c r="K169" s="11">
        <v>0.114080594417297</v>
      </c>
    </row>
    <row r="170" spans="1:11" x14ac:dyDescent="0.3">
      <c r="A170" s="10" t="s">
        <v>213</v>
      </c>
      <c r="B170" s="6">
        <v>45507</v>
      </c>
      <c r="C170" s="5" t="s">
        <v>11</v>
      </c>
      <c r="D170" s="5" t="s">
        <v>21</v>
      </c>
      <c r="E170" s="5" t="s">
        <v>39</v>
      </c>
      <c r="F170" s="5" t="s">
        <v>75</v>
      </c>
      <c r="G170" s="7">
        <v>8</v>
      </c>
      <c r="H170" s="8">
        <v>1911.89</v>
      </c>
      <c r="I170" s="9">
        <v>0</v>
      </c>
      <c r="J170" s="8">
        <v>270.16000000000003</v>
      </c>
      <c r="K170" s="11">
        <v>0.141305200613006</v>
      </c>
    </row>
    <row r="171" spans="1:11" x14ac:dyDescent="0.3">
      <c r="A171" s="10" t="s">
        <v>214</v>
      </c>
      <c r="B171" s="6">
        <v>45255</v>
      </c>
      <c r="C171" s="5" t="s">
        <v>20</v>
      </c>
      <c r="D171" s="5" t="s">
        <v>12</v>
      </c>
      <c r="E171" s="5" t="s">
        <v>31</v>
      </c>
      <c r="F171" s="5" t="s">
        <v>50</v>
      </c>
      <c r="G171" s="7">
        <v>6</v>
      </c>
      <c r="H171" s="8">
        <v>3809.42</v>
      </c>
      <c r="I171" s="9">
        <v>0.1</v>
      </c>
      <c r="J171" s="8">
        <v>592.54</v>
      </c>
      <c r="K171" s="11">
        <v>0.15554598862819011</v>
      </c>
    </row>
    <row r="172" spans="1:11" x14ac:dyDescent="0.3">
      <c r="A172" s="10" t="s">
        <v>215</v>
      </c>
      <c r="B172" s="6">
        <v>45068</v>
      </c>
      <c r="C172" s="5" t="s">
        <v>11</v>
      </c>
      <c r="D172" s="5" t="s">
        <v>12</v>
      </c>
      <c r="E172" s="5" t="s">
        <v>34</v>
      </c>
      <c r="F172" s="5" t="s">
        <v>22</v>
      </c>
      <c r="G172" s="7">
        <v>6</v>
      </c>
      <c r="H172" s="8">
        <v>4207.2299999999996</v>
      </c>
      <c r="I172" s="9">
        <v>0.05</v>
      </c>
      <c r="J172" s="8">
        <v>555.02</v>
      </c>
      <c r="K172" s="11">
        <v>0.13192052728279649</v>
      </c>
    </row>
    <row r="173" spans="1:11" x14ac:dyDescent="0.3">
      <c r="A173" s="10" t="s">
        <v>216</v>
      </c>
      <c r="B173" s="6">
        <v>45613</v>
      </c>
      <c r="C173" s="5" t="s">
        <v>16</v>
      </c>
      <c r="D173" s="5" t="s">
        <v>21</v>
      </c>
      <c r="E173" s="5" t="s">
        <v>34</v>
      </c>
      <c r="F173" s="5" t="s">
        <v>14</v>
      </c>
      <c r="G173" s="7">
        <v>4</v>
      </c>
      <c r="H173" s="8">
        <v>3234.69</v>
      </c>
      <c r="I173" s="9">
        <v>0.1</v>
      </c>
      <c r="J173" s="8">
        <v>355.58</v>
      </c>
      <c r="K173" s="11">
        <v>0.1099270718368684</v>
      </c>
    </row>
    <row r="174" spans="1:11" x14ac:dyDescent="0.3">
      <c r="A174" s="10" t="s">
        <v>217</v>
      </c>
      <c r="B174" s="6">
        <v>45237</v>
      </c>
      <c r="C174" s="5" t="s">
        <v>11</v>
      </c>
      <c r="D174" s="5" t="s">
        <v>21</v>
      </c>
      <c r="E174" s="5" t="s">
        <v>43</v>
      </c>
      <c r="F174" s="5" t="s">
        <v>44</v>
      </c>
      <c r="G174" s="7">
        <v>1</v>
      </c>
      <c r="H174" s="8">
        <v>4053.53</v>
      </c>
      <c r="I174" s="9">
        <v>0.15</v>
      </c>
      <c r="J174" s="8">
        <v>1139.1500000000001</v>
      </c>
      <c r="K174" s="11">
        <v>0.28102666071300819</v>
      </c>
    </row>
    <row r="175" spans="1:11" x14ac:dyDescent="0.3">
      <c r="A175" s="10" t="s">
        <v>218</v>
      </c>
      <c r="B175" s="6">
        <v>45650</v>
      </c>
      <c r="C175" s="5" t="s">
        <v>16</v>
      </c>
      <c r="D175" s="5" t="s">
        <v>33</v>
      </c>
      <c r="E175" s="5" t="s">
        <v>43</v>
      </c>
      <c r="F175" s="5" t="s">
        <v>35</v>
      </c>
      <c r="G175" s="7">
        <v>3</v>
      </c>
      <c r="H175" s="8">
        <v>970.77</v>
      </c>
      <c r="I175" s="9">
        <v>0.1</v>
      </c>
      <c r="J175" s="8">
        <v>59.65</v>
      </c>
      <c r="K175" s="11">
        <v>6.1446068584731707E-2</v>
      </c>
    </row>
    <row r="176" spans="1:11" x14ac:dyDescent="0.3">
      <c r="A176" s="10" t="s">
        <v>219</v>
      </c>
      <c r="B176" s="6">
        <v>45505</v>
      </c>
      <c r="C176" s="5" t="s">
        <v>16</v>
      </c>
      <c r="D176" s="5" t="s">
        <v>33</v>
      </c>
      <c r="E176" s="5" t="s">
        <v>25</v>
      </c>
      <c r="F176" s="5" t="s">
        <v>66</v>
      </c>
      <c r="G176" s="7">
        <v>10</v>
      </c>
      <c r="H176" s="8">
        <v>1344.53</v>
      </c>
      <c r="I176" s="9">
        <v>0.1</v>
      </c>
      <c r="J176" s="8">
        <v>333.19</v>
      </c>
      <c r="K176" s="11">
        <v>0.2478115029043606</v>
      </c>
    </row>
    <row r="177" spans="1:11" x14ac:dyDescent="0.3">
      <c r="A177" s="10" t="s">
        <v>220</v>
      </c>
      <c r="B177" s="6">
        <v>45157</v>
      </c>
      <c r="C177" s="5" t="s">
        <v>11</v>
      </c>
      <c r="D177" s="5" t="s">
        <v>12</v>
      </c>
      <c r="E177" s="5" t="s">
        <v>39</v>
      </c>
      <c r="F177" s="5" t="s">
        <v>61</v>
      </c>
      <c r="G177" s="7">
        <v>2</v>
      </c>
      <c r="H177" s="8">
        <v>1447.59</v>
      </c>
      <c r="I177" s="9">
        <v>0.05</v>
      </c>
      <c r="J177" s="8">
        <v>189.85</v>
      </c>
      <c r="K177" s="11">
        <v>0.13114901318743569</v>
      </c>
    </row>
    <row r="178" spans="1:11" x14ac:dyDescent="0.3">
      <c r="A178" s="10" t="s">
        <v>221</v>
      </c>
      <c r="B178" s="6">
        <v>45220</v>
      </c>
      <c r="C178" s="5" t="s">
        <v>30</v>
      </c>
      <c r="D178" s="5" t="s">
        <v>33</v>
      </c>
      <c r="E178" s="5" t="s">
        <v>46</v>
      </c>
      <c r="F178" s="5" t="s">
        <v>35</v>
      </c>
      <c r="G178" s="7">
        <v>8</v>
      </c>
      <c r="H178" s="8">
        <v>3547.54</v>
      </c>
      <c r="I178" s="9">
        <v>0.1</v>
      </c>
      <c r="J178" s="8">
        <v>573.12</v>
      </c>
      <c r="K178" s="11">
        <v>0.1615542037580972</v>
      </c>
    </row>
    <row r="179" spans="1:11" x14ac:dyDescent="0.3">
      <c r="A179" s="10" t="s">
        <v>222</v>
      </c>
      <c r="B179" s="6">
        <v>45077</v>
      </c>
      <c r="C179" s="5" t="s">
        <v>30</v>
      </c>
      <c r="D179" s="5" t="s">
        <v>12</v>
      </c>
      <c r="E179" s="5" t="s">
        <v>13</v>
      </c>
      <c r="F179" s="5" t="s">
        <v>71</v>
      </c>
      <c r="G179" s="7">
        <v>9</v>
      </c>
      <c r="H179" s="8">
        <v>1151.83</v>
      </c>
      <c r="I179" s="9">
        <v>0.15</v>
      </c>
      <c r="J179" s="8">
        <v>90.25</v>
      </c>
      <c r="K179" s="11">
        <v>7.8353576482640672E-2</v>
      </c>
    </row>
    <row r="180" spans="1:11" x14ac:dyDescent="0.3">
      <c r="A180" s="10" t="s">
        <v>223</v>
      </c>
      <c r="B180" s="6">
        <v>45312</v>
      </c>
      <c r="C180" s="5" t="s">
        <v>30</v>
      </c>
      <c r="D180" s="5" t="s">
        <v>33</v>
      </c>
      <c r="E180" s="5" t="s">
        <v>46</v>
      </c>
      <c r="F180" s="5" t="s">
        <v>28</v>
      </c>
      <c r="G180" s="7">
        <v>7</v>
      </c>
      <c r="H180" s="8">
        <v>3998.64</v>
      </c>
      <c r="I180" s="9">
        <v>0.05</v>
      </c>
      <c r="J180" s="8">
        <v>489.65</v>
      </c>
      <c r="K180" s="11">
        <v>0.1224541344056979</v>
      </c>
    </row>
    <row r="181" spans="1:11" x14ac:dyDescent="0.3">
      <c r="A181" s="10" t="s">
        <v>224</v>
      </c>
      <c r="B181" s="6">
        <v>45546</v>
      </c>
      <c r="C181" s="5" t="s">
        <v>30</v>
      </c>
      <c r="D181" s="5" t="s">
        <v>12</v>
      </c>
      <c r="E181" s="5" t="s">
        <v>43</v>
      </c>
      <c r="F181" s="5" t="s">
        <v>41</v>
      </c>
      <c r="G181" s="7">
        <v>2</v>
      </c>
      <c r="H181" s="8">
        <v>448.73</v>
      </c>
      <c r="I181" s="9">
        <v>0.1</v>
      </c>
      <c r="J181" s="8">
        <v>96.86</v>
      </c>
      <c r="K181" s="11">
        <v>0.21585363135961491</v>
      </c>
    </row>
    <row r="182" spans="1:11" x14ac:dyDescent="0.3">
      <c r="A182" s="10" t="s">
        <v>225</v>
      </c>
      <c r="B182" s="6">
        <v>45442</v>
      </c>
      <c r="C182" s="5" t="s">
        <v>20</v>
      </c>
      <c r="D182" s="5" t="s">
        <v>21</v>
      </c>
      <c r="E182" s="5" t="s">
        <v>43</v>
      </c>
      <c r="F182" s="5" t="s">
        <v>90</v>
      </c>
      <c r="G182" s="7">
        <v>4</v>
      </c>
      <c r="H182" s="8">
        <v>2237.84</v>
      </c>
      <c r="I182" s="9">
        <v>0.05</v>
      </c>
      <c r="J182" s="8">
        <v>235.78</v>
      </c>
      <c r="K182" s="11">
        <v>0.1053605262217138</v>
      </c>
    </row>
    <row r="183" spans="1:11" x14ac:dyDescent="0.3">
      <c r="A183" s="10" t="s">
        <v>226</v>
      </c>
      <c r="B183" s="6">
        <v>45579</v>
      </c>
      <c r="C183" s="5" t="s">
        <v>16</v>
      </c>
      <c r="D183" s="5" t="s">
        <v>33</v>
      </c>
      <c r="E183" s="5" t="s">
        <v>46</v>
      </c>
      <c r="F183" s="5" t="s">
        <v>66</v>
      </c>
      <c r="G183" s="7">
        <v>2</v>
      </c>
      <c r="H183" s="8">
        <v>2315.61</v>
      </c>
      <c r="I183" s="9">
        <v>0.05</v>
      </c>
      <c r="J183" s="8">
        <v>384.93</v>
      </c>
      <c r="K183" s="11">
        <v>0.16623265575809401</v>
      </c>
    </row>
    <row r="184" spans="1:11" x14ac:dyDescent="0.3">
      <c r="A184" s="10" t="s">
        <v>227</v>
      </c>
      <c r="B184" s="6">
        <v>45561</v>
      </c>
      <c r="C184" s="5" t="s">
        <v>11</v>
      </c>
      <c r="D184" s="5" t="s">
        <v>33</v>
      </c>
      <c r="E184" s="5" t="s">
        <v>31</v>
      </c>
      <c r="F184" s="5" t="s">
        <v>90</v>
      </c>
      <c r="G184" s="7">
        <v>4</v>
      </c>
      <c r="H184" s="8">
        <v>1982.26</v>
      </c>
      <c r="I184" s="9">
        <v>0.2</v>
      </c>
      <c r="J184" s="8">
        <v>292.45</v>
      </c>
      <c r="K184" s="11">
        <v>0.14753362323812211</v>
      </c>
    </row>
    <row r="185" spans="1:11" x14ac:dyDescent="0.3">
      <c r="A185" s="10" t="s">
        <v>228</v>
      </c>
      <c r="B185" s="6">
        <v>45388</v>
      </c>
      <c r="C185" s="5" t="s">
        <v>16</v>
      </c>
      <c r="D185" s="5" t="s">
        <v>33</v>
      </c>
      <c r="E185" s="5" t="s">
        <v>13</v>
      </c>
      <c r="F185" s="5" t="s">
        <v>90</v>
      </c>
      <c r="G185" s="7">
        <v>3</v>
      </c>
      <c r="H185" s="8">
        <v>4173.76</v>
      </c>
      <c r="I185" s="9">
        <v>0.15</v>
      </c>
      <c r="J185" s="8">
        <v>723.59</v>
      </c>
      <c r="K185" s="11">
        <v>0.173366460936901</v>
      </c>
    </row>
    <row r="186" spans="1:11" x14ac:dyDescent="0.3">
      <c r="A186" s="10" t="s">
        <v>229</v>
      </c>
      <c r="B186" s="6">
        <v>45498</v>
      </c>
      <c r="C186" s="5" t="s">
        <v>20</v>
      </c>
      <c r="D186" s="5" t="s">
        <v>33</v>
      </c>
      <c r="E186" s="5" t="s">
        <v>43</v>
      </c>
      <c r="F186" s="5" t="s">
        <v>71</v>
      </c>
      <c r="G186" s="7">
        <v>9</v>
      </c>
      <c r="H186" s="8">
        <v>3818.82</v>
      </c>
      <c r="I186" s="9">
        <v>0</v>
      </c>
      <c r="J186" s="8">
        <v>290.58999999999997</v>
      </c>
      <c r="K186" s="11">
        <v>7.6094186162217636E-2</v>
      </c>
    </row>
    <row r="187" spans="1:11" x14ac:dyDescent="0.3">
      <c r="A187" s="10" t="s">
        <v>230</v>
      </c>
      <c r="B187" s="6">
        <v>45388</v>
      </c>
      <c r="C187" s="5" t="s">
        <v>16</v>
      </c>
      <c r="D187" s="5" t="s">
        <v>21</v>
      </c>
      <c r="E187" s="5" t="s">
        <v>25</v>
      </c>
      <c r="F187" s="5" t="s">
        <v>75</v>
      </c>
      <c r="G187" s="7">
        <v>7</v>
      </c>
      <c r="H187" s="8">
        <v>1568.54</v>
      </c>
      <c r="I187" s="9">
        <v>0.15</v>
      </c>
      <c r="J187" s="8">
        <v>125.47</v>
      </c>
      <c r="K187" s="11">
        <v>7.9991584530837601E-2</v>
      </c>
    </row>
    <row r="188" spans="1:11" x14ac:dyDescent="0.3">
      <c r="A188" s="10" t="s">
        <v>231</v>
      </c>
      <c r="B188" s="6">
        <v>45551</v>
      </c>
      <c r="C188" s="5" t="s">
        <v>16</v>
      </c>
      <c r="D188" s="5" t="s">
        <v>12</v>
      </c>
      <c r="E188" s="5" t="s">
        <v>31</v>
      </c>
      <c r="F188" s="5" t="s">
        <v>55</v>
      </c>
      <c r="G188" s="7">
        <v>1</v>
      </c>
      <c r="H188" s="8">
        <v>2571.86</v>
      </c>
      <c r="I188" s="9">
        <v>0.1</v>
      </c>
      <c r="J188" s="8">
        <v>441.68</v>
      </c>
      <c r="K188" s="11">
        <v>0.17173563102190631</v>
      </c>
    </row>
    <row r="189" spans="1:11" x14ac:dyDescent="0.3">
      <c r="A189" s="10" t="s">
        <v>232</v>
      </c>
      <c r="B189" s="6">
        <v>45511</v>
      </c>
      <c r="C189" s="5" t="s">
        <v>30</v>
      </c>
      <c r="D189" s="5" t="s">
        <v>12</v>
      </c>
      <c r="E189" s="5" t="s">
        <v>17</v>
      </c>
      <c r="F189" s="5" t="s">
        <v>26</v>
      </c>
      <c r="G189" s="7">
        <v>2</v>
      </c>
      <c r="H189" s="8">
        <v>3018.31</v>
      </c>
      <c r="I189" s="9">
        <v>0.05</v>
      </c>
      <c r="J189" s="8">
        <v>571.36</v>
      </c>
      <c r="K189" s="11">
        <v>0.18929798463378511</v>
      </c>
    </row>
    <row r="190" spans="1:11" x14ac:dyDescent="0.3">
      <c r="A190" s="10" t="s">
        <v>233</v>
      </c>
      <c r="B190" s="6">
        <v>45643</v>
      </c>
      <c r="C190" s="5" t="s">
        <v>20</v>
      </c>
      <c r="D190" s="5" t="s">
        <v>21</v>
      </c>
      <c r="E190" s="5" t="s">
        <v>25</v>
      </c>
      <c r="F190" s="5" t="s">
        <v>22</v>
      </c>
      <c r="G190" s="7">
        <v>1</v>
      </c>
      <c r="H190" s="8">
        <v>4650.47</v>
      </c>
      <c r="I190" s="9">
        <v>0.15</v>
      </c>
      <c r="J190" s="8">
        <v>502.51</v>
      </c>
      <c r="K190" s="11">
        <v>0.1080557449032033</v>
      </c>
    </row>
    <row r="191" spans="1:11" x14ac:dyDescent="0.3">
      <c r="A191" s="10" t="s">
        <v>234</v>
      </c>
      <c r="B191" s="6">
        <v>45433</v>
      </c>
      <c r="C191" s="5" t="s">
        <v>30</v>
      </c>
      <c r="D191" s="5" t="s">
        <v>33</v>
      </c>
      <c r="E191" s="5" t="s">
        <v>34</v>
      </c>
      <c r="F191" s="5" t="s">
        <v>44</v>
      </c>
      <c r="G191" s="7">
        <v>7</v>
      </c>
      <c r="H191" s="8">
        <v>620.6</v>
      </c>
      <c r="I191" s="9">
        <v>0</v>
      </c>
      <c r="J191" s="8">
        <v>104.34</v>
      </c>
      <c r="K191" s="11">
        <v>0.1681276184337738</v>
      </c>
    </row>
    <row r="192" spans="1:11" x14ac:dyDescent="0.3">
      <c r="A192" s="10" t="s">
        <v>235</v>
      </c>
      <c r="B192" s="6">
        <v>45092</v>
      </c>
      <c r="C192" s="5" t="s">
        <v>16</v>
      </c>
      <c r="D192" s="5" t="s">
        <v>21</v>
      </c>
      <c r="E192" s="5" t="s">
        <v>39</v>
      </c>
      <c r="F192" s="5" t="s">
        <v>22</v>
      </c>
      <c r="G192" s="7">
        <v>5</v>
      </c>
      <c r="H192" s="8">
        <v>3776.87</v>
      </c>
      <c r="I192" s="9">
        <v>0.05</v>
      </c>
      <c r="J192" s="8">
        <v>1085.56</v>
      </c>
      <c r="K192" s="11">
        <v>0.28742318374738868</v>
      </c>
    </row>
    <row r="193" spans="1:11" x14ac:dyDescent="0.3">
      <c r="A193" s="10" t="s">
        <v>236</v>
      </c>
      <c r="B193" s="6">
        <v>45324</v>
      </c>
      <c r="C193" s="5" t="s">
        <v>11</v>
      </c>
      <c r="D193" s="5" t="s">
        <v>21</v>
      </c>
      <c r="E193" s="5" t="s">
        <v>46</v>
      </c>
      <c r="F193" s="5" t="s">
        <v>75</v>
      </c>
      <c r="G193" s="7">
        <v>2</v>
      </c>
      <c r="H193" s="8">
        <v>772.13</v>
      </c>
      <c r="I193" s="9">
        <v>0.05</v>
      </c>
      <c r="J193" s="8">
        <v>220.63</v>
      </c>
      <c r="K193" s="11">
        <v>0.28574203825780631</v>
      </c>
    </row>
    <row r="194" spans="1:11" x14ac:dyDescent="0.3">
      <c r="A194" s="10" t="s">
        <v>237</v>
      </c>
      <c r="B194" s="6">
        <v>45183</v>
      </c>
      <c r="C194" s="5" t="s">
        <v>11</v>
      </c>
      <c r="D194" s="5" t="s">
        <v>12</v>
      </c>
      <c r="E194" s="5" t="s">
        <v>43</v>
      </c>
      <c r="F194" s="5" t="s">
        <v>61</v>
      </c>
      <c r="G194" s="7">
        <v>6</v>
      </c>
      <c r="H194" s="8">
        <v>212.3</v>
      </c>
      <c r="I194" s="9">
        <v>0.15</v>
      </c>
      <c r="J194" s="8">
        <v>40.479999999999997</v>
      </c>
      <c r="K194" s="11">
        <v>0.19067357512953359</v>
      </c>
    </row>
    <row r="195" spans="1:11" x14ac:dyDescent="0.3">
      <c r="A195" s="10" t="s">
        <v>238</v>
      </c>
      <c r="B195" s="6">
        <v>45082</v>
      </c>
      <c r="C195" s="5" t="s">
        <v>30</v>
      </c>
      <c r="D195" s="5" t="s">
        <v>21</v>
      </c>
      <c r="E195" s="5" t="s">
        <v>17</v>
      </c>
      <c r="F195" s="5" t="s">
        <v>18</v>
      </c>
      <c r="G195" s="7">
        <v>8</v>
      </c>
      <c r="H195" s="8">
        <v>3743.94</v>
      </c>
      <c r="I195" s="9">
        <v>0.15</v>
      </c>
      <c r="J195" s="8">
        <v>868.18</v>
      </c>
      <c r="K195" s="11">
        <v>0.23188939993696481</v>
      </c>
    </row>
    <row r="196" spans="1:11" x14ac:dyDescent="0.3">
      <c r="A196" s="10" t="s">
        <v>239</v>
      </c>
      <c r="B196" s="6">
        <v>45390</v>
      </c>
      <c r="C196" s="5" t="s">
        <v>11</v>
      </c>
      <c r="D196" s="5" t="s">
        <v>21</v>
      </c>
      <c r="E196" s="5" t="s">
        <v>43</v>
      </c>
      <c r="F196" s="5" t="s">
        <v>35</v>
      </c>
      <c r="G196" s="7">
        <v>5</v>
      </c>
      <c r="H196" s="8">
        <v>1629.51</v>
      </c>
      <c r="I196" s="9">
        <v>0.2</v>
      </c>
      <c r="J196" s="8">
        <v>94.35</v>
      </c>
      <c r="K196" s="11">
        <v>5.7900841357217812E-2</v>
      </c>
    </row>
    <row r="197" spans="1:11" x14ac:dyDescent="0.3">
      <c r="A197" s="10" t="s">
        <v>240</v>
      </c>
      <c r="B197" s="6">
        <v>45496</v>
      </c>
      <c r="C197" s="5" t="s">
        <v>16</v>
      </c>
      <c r="D197" s="5" t="s">
        <v>12</v>
      </c>
      <c r="E197" s="5" t="s">
        <v>31</v>
      </c>
      <c r="F197" s="5" t="s">
        <v>53</v>
      </c>
      <c r="G197" s="7">
        <v>7</v>
      </c>
      <c r="H197" s="8">
        <v>2527.5300000000002</v>
      </c>
      <c r="I197" s="9">
        <v>0.05</v>
      </c>
      <c r="J197" s="8">
        <v>468.87</v>
      </c>
      <c r="K197" s="11">
        <v>0.18550521655529309</v>
      </c>
    </row>
    <row r="198" spans="1:11" x14ac:dyDescent="0.3">
      <c r="A198" s="10" t="s">
        <v>241</v>
      </c>
      <c r="B198" s="6">
        <v>44976</v>
      </c>
      <c r="C198" s="5" t="s">
        <v>11</v>
      </c>
      <c r="D198" s="5" t="s">
        <v>21</v>
      </c>
      <c r="E198" s="5" t="s">
        <v>13</v>
      </c>
      <c r="F198" s="5" t="s">
        <v>26</v>
      </c>
      <c r="G198" s="7">
        <v>1</v>
      </c>
      <c r="H198" s="8">
        <v>2188.38</v>
      </c>
      <c r="I198" s="9">
        <v>0</v>
      </c>
      <c r="J198" s="8">
        <v>505.39</v>
      </c>
      <c r="K198" s="11">
        <v>0.2309425236933256</v>
      </c>
    </row>
    <row r="199" spans="1:11" x14ac:dyDescent="0.3">
      <c r="A199" s="10" t="s">
        <v>242</v>
      </c>
      <c r="B199" s="6">
        <v>45367</v>
      </c>
      <c r="C199" s="5" t="s">
        <v>30</v>
      </c>
      <c r="D199" s="5" t="s">
        <v>12</v>
      </c>
      <c r="E199" s="5" t="s">
        <v>13</v>
      </c>
      <c r="F199" s="5" t="s">
        <v>78</v>
      </c>
      <c r="G199" s="7">
        <v>8</v>
      </c>
      <c r="H199" s="8">
        <v>4198.3500000000004</v>
      </c>
      <c r="I199" s="9">
        <v>0</v>
      </c>
      <c r="J199" s="8">
        <v>612.16999999999996</v>
      </c>
      <c r="K199" s="11">
        <v>0.14581204520823651</v>
      </c>
    </row>
    <row r="200" spans="1:11" x14ac:dyDescent="0.3">
      <c r="A200" s="10" t="s">
        <v>243</v>
      </c>
      <c r="B200" s="6">
        <v>45511</v>
      </c>
      <c r="C200" s="5" t="s">
        <v>16</v>
      </c>
      <c r="D200" s="5" t="s">
        <v>21</v>
      </c>
      <c r="E200" s="5" t="s">
        <v>39</v>
      </c>
      <c r="F200" s="5" t="s">
        <v>18</v>
      </c>
      <c r="G200" s="7">
        <v>6</v>
      </c>
      <c r="H200" s="8">
        <v>3157.23</v>
      </c>
      <c r="I200" s="9">
        <v>0.2</v>
      </c>
      <c r="J200" s="8">
        <v>941.3</v>
      </c>
      <c r="K200" s="11">
        <v>0.29814109203320632</v>
      </c>
    </row>
    <row r="201" spans="1:11" x14ac:dyDescent="0.3">
      <c r="A201" s="10" t="s">
        <v>244</v>
      </c>
      <c r="B201" s="6">
        <v>44968</v>
      </c>
      <c r="C201" s="5" t="s">
        <v>11</v>
      </c>
      <c r="D201" s="5" t="s">
        <v>21</v>
      </c>
      <c r="E201" s="5" t="s">
        <v>25</v>
      </c>
      <c r="F201" s="5" t="s">
        <v>66</v>
      </c>
      <c r="G201" s="7">
        <v>6</v>
      </c>
      <c r="H201" s="8">
        <v>4069.13</v>
      </c>
      <c r="I201" s="9">
        <v>0.2</v>
      </c>
      <c r="J201" s="8">
        <v>374.49</v>
      </c>
      <c r="K201" s="11">
        <v>9.2031957691201802E-2</v>
      </c>
    </row>
    <row r="202" spans="1:11" x14ac:dyDescent="0.3">
      <c r="A202" s="10" t="s">
        <v>245</v>
      </c>
      <c r="B202" s="6">
        <v>45341</v>
      </c>
      <c r="C202" s="5" t="s">
        <v>20</v>
      </c>
      <c r="D202" s="5" t="s">
        <v>33</v>
      </c>
      <c r="E202" s="5" t="s">
        <v>43</v>
      </c>
      <c r="F202" s="5" t="s">
        <v>14</v>
      </c>
      <c r="G202" s="7">
        <v>9</v>
      </c>
      <c r="H202" s="8">
        <v>1629.4</v>
      </c>
      <c r="I202" s="9">
        <v>0</v>
      </c>
      <c r="J202" s="8">
        <v>129.06</v>
      </c>
      <c r="K202" s="11">
        <v>7.920707008714864E-2</v>
      </c>
    </row>
    <row r="203" spans="1:11" x14ac:dyDescent="0.3">
      <c r="A203" s="10" t="s">
        <v>246</v>
      </c>
      <c r="B203" s="6">
        <v>45120</v>
      </c>
      <c r="C203" s="5" t="s">
        <v>16</v>
      </c>
      <c r="D203" s="5" t="s">
        <v>21</v>
      </c>
      <c r="E203" s="5" t="s">
        <v>25</v>
      </c>
      <c r="F203" s="5" t="s">
        <v>61</v>
      </c>
      <c r="G203" s="7">
        <v>2</v>
      </c>
      <c r="H203" s="8">
        <v>1206.6199999999999</v>
      </c>
      <c r="I203" s="9">
        <v>0.05</v>
      </c>
      <c r="J203" s="8">
        <v>271.83999999999997</v>
      </c>
      <c r="K203" s="11">
        <v>0.22529048084732561</v>
      </c>
    </row>
    <row r="204" spans="1:11" x14ac:dyDescent="0.3">
      <c r="A204" s="10" t="s">
        <v>247</v>
      </c>
      <c r="B204" s="6">
        <v>45016</v>
      </c>
      <c r="C204" s="5" t="s">
        <v>20</v>
      </c>
      <c r="D204" s="5" t="s">
        <v>21</v>
      </c>
      <c r="E204" s="5" t="s">
        <v>34</v>
      </c>
      <c r="F204" s="5" t="s">
        <v>18</v>
      </c>
      <c r="G204" s="7">
        <v>7</v>
      </c>
      <c r="H204" s="8">
        <v>3853.16</v>
      </c>
      <c r="I204" s="9">
        <v>0.1</v>
      </c>
      <c r="J204" s="8">
        <v>1103.04</v>
      </c>
      <c r="K204" s="11">
        <v>0.28626893251253521</v>
      </c>
    </row>
    <row r="205" spans="1:11" x14ac:dyDescent="0.3">
      <c r="A205" s="10" t="s">
        <v>248</v>
      </c>
      <c r="B205" s="6">
        <v>45491</v>
      </c>
      <c r="C205" s="5" t="s">
        <v>16</v>
      </c>
      <c r="D205" s="5" t="s">
        <v>33</v>
      </c>
      <c r="E205" s="5" t="s">
        <v>31</v>
      </c>
      <c r="F205" s="5" t="s">
        <v>18</v>
      </c>
      <c r="G205" s="7">
        <v>4</v>
      </c>
      <c r="H205" s="8">
        <v>726.99</v>
      </c>
      <c r="I205" s="9">
        <v>0.15</v>
      </c>
      <c r="J205" s="8">
        <v>187.34</v>
      </c>
      <c r="K205" s="11">
        <v>0.25769267802858359</v>
      </c>
    </row>
    <row r="206" spans="1:11" x14ac:dyDescent="0.3">
      <c r="A206" s="10" t="s">
        <v>249</v>
      </c>
      <c r="B206" s="6">
        <v>45312</v>
      </c>
      <c r="C206" s="5" t="s">
        <v>30</v>
      </c>
      <c r="D206" s="5" t="s">
        <v>12</v>
      </c>
      <c r="E206" s="5" t="s">
        <v>13</v>
      </c>
      <c r="F206" s="5" t="s">
        <v>14</v>
      </c>
      <c r="G206" s="7">
        <v>5</v>
      </c>
      <c r="H206" s="8">
        <v>3910.33</v>
      </c>
      <c r="I206" s="9">
        <v>0.2</v>
      </c>
      <c r="J206" s="8">
        <v>678.44</v>
      </c>
      <c r="K206" s="11">
        <v>0.17349942332232829</v>
      </c>
    </row>
    <row r="207" spans="1:11" x14ac:dyDescent="0.3">
      <c r="A207" s="10" t="s">
        <v>250</v>
      </c>
      <c r="B207" s="6">
        <v>45338</v>
      </c>
      <c r="C207" s="5" t="s">
        <v>11</v>
      </c>
      <c r="D207" s="5" t="s">
        <v>33</v>
      </c>
      <c r="E207" s="5" t="s">
        <v>25</v>
      </c>
      <c r="F207" s="5" t="s">
        <v>14</v>
      </c>
      <c r="G207" s="7">
        <v>4</v>
      </c>
      <c r="H207" s="8">
        <v>1002.38</v>
      </c>
      <c r="I207" s="9">
        <v>0</v>
      </c>
      <c r="J207" s="8">
        <v>85.8</v>
      </c>
      <c r="K207" s="11">
        <v>8.5596280851573253E-2</v>
      </c>
    </row>
    <row r="208" spans="1:11" x14ac:dyDescent="0.3">
      <c r="A208" s="10" t="s">
        <v>251</v>
      </c>
      <c r="B208" s="6">
        <v>45655</v>
      </c>
      <c r="C208" s="5" t="s">
        <v>20</v>
      </c>
      <c r="D208" s="5" t="s">
        <v>33</v>
      </c>
      <c r="E208" s="5" t="s">
        <v>25</v>
      </c>
      <c r="F208" s="5" t="s">
        <v>37</v>
      </c>
      <c r="G208" s="7">
        <v>4</v>
      </c>
      <c r="H208" s="8">
        <v>839.23</v>
      </c>
      <c r="I208" s="9">
        <v>0.2</v>
      </c>
      <c r="J208" s="8">
        <v>172.17</v>
      </c>
      <c r="K208" s="11">
        <v>0.20515234202781121</v>
      </c>
    </row>
    <row r="209" spans="1:11" x14ac:dyDescent="0.3">
      <c r="A209" s="10" t="s">
        <v>252</v>
      </c>
      <c r="B209" s="6">
        <v>45652</v>
      </c>
      <c r="C209" s="5" t="s">
        <v>20</v>
      </c>
      <c r="D209" s="5" t="s">
        <v>12</v>
      </c>
      <c r="E209" s="5" t="s">
        <v>25</v>
      </c>
      <c r="F209" s="5" t="s">
        <v>50</v>
      </c>
      <c r="G209" s="7">
        <v>3</v>
      </c>
      <c r="H209" s="8">
        <v>4077.82</v>
      </c>
      <c r="I209" s="9">
        <v>0</v>
      </c>
      <c r="J209" s="8">
        <v>1065.4000000000001</v>
      </c>
      <c r="K209" s="11">
        <v>0.26126704955098562</v>
      </c>
    </row>
    <row r="210" spans="1:11" x14ac:dyDescent="0.3">
      <c r="A210" s="10" t="s">
        <v>253</v>
      </c>
      <c r="B210" s="6">
        <v>45487</v>
      </c>
      <c r="C210" s="5" t="s">
        <v>11</v>
      </c>
      <c r="D210" s="5" t="s">
        <v>33</v>
      </c>
      <c r="E210" s="5" t="s">
        <v>25</v>
      </c>
      <c r="F210" s="5" t="s">
        <v>75</v>
      </c>
      <c r="G210" s="7">
        <v>8</v>
      </c>
      <c r="H210" s="8">
        <v>3576.53</v>
      </c>
      <c r="I210" s="9">
        <v>0.05</v>
      </c>
      <c r="J210" s="8">
        <v>1004.97</v>
      </c>
      <c r="K210" s="11">
        <v>0.2809902335503966</v>
      </c>
    </row>
    <row r="211" spans="1:11" x14ac:dyDescent="0.3">
      <c r="A211" s="10" t="s">
        <v>254</v>
      </c>
      <c r="B211" s="6">
        <v>45341</v>
      </c>
      <c r="C211" s="5" t="s">
        <v>11</v>
      </c>
      <c r="D211" s="5" t="s">
        <v>21</v>
      </c>
      <c r="E211" s="5" t="s">
        <v>13</v>
      </c>
      <c r="F211" s="5" t="s">
        <v>90</v>
      </c>
      <c r="G211" s="7">
        <v>1</v>
      </c>
      <c r="H211" s="8">
        <v>4509.21</v>
      </c>
      <c r="I211" s="9">
        <v>0.2</v>
      </c>
      <c r="J211" s="8">
        <v>365.76</v>
      </c>
      <c r="K211" s="11">
        <v>8.1113986707205918E-2</v>
      </c>
    </row>
    <row r="212" spans="1:11" x14ac:dyDescent="0.3">
      <c r="A212" s="10" t="s">
        <v>255</v>
      </c>
      <c r="B212" s="6">
        <v>45105</v>
      </c>
      <c r="C212" s="5" t="s">
        <v>30</v>
      </c>
      <c r="D212" s="5" t="s">
        <v>12</v>
      </c>
      <c r="E212" s="5" t="s">
        <v>13</v>
      </c>
      <c r="F212" s="5" t="s">
        <v>44</v>
      </c>
      <c r="G212" s="7">
        <v>8</v>
      </c>
      <c r="H212" s="8">
        <v>4553.24</v>
      </c>
      <c r="I212" s="9">
        <v>0.1</v>
      </c>
      <c r="J212" s="8">
        <v>1145.26</v>
      </c>
      <c r="K212" s="11">
        <v>0.25152638560673279</v>
      </c>
    </row>
    <row r="213" spans="1:11" x14ac:dyDescent="0.3">
      <c r="A213" s="10" t="s">
        <v>256</v>
      </c>
      <c r="B213" s="6">
        <v>45514</v>
      </c>
      <c r="C213" s="5" t="s">
        <v>20</v>
      </c>
      <c r="D213" s="5" t="s">
        <v>33</v>
      </c>
      <c r="E213" s="5" t="s">
        <v>46</v>
      </c>
      <c r="F213" s="5" t="s">
        <v>71</v>
      </c>
      <c r="G213" s="7">
        <v>8</v>
      </c>
      <c r="H213" s="8">
        <v>2420.5700000000002</v>
      </c>
      <c r="I213" s="9">
        <v>0.05</v>
      </c>
      <c r="J213" s="8">
        <v>546.89</v>
      </c>
      <c r="K213" s="11">
        <v>0.22593438735504451</v>
      </c>
    </row>
    <row r="214" spans="1:11" x14ac:dyDescent="0.3">
      <c r="A214" s="10" t="s">
        <v>257</v>
      </c>
      <c r="B214" s="6">
        <v>45022</v>
      </c>
      <c r="C214" s="5" t="s">
        <v>16</v>
      </c>
      <c r="D214" s="5" t="s">
        <v>12</v>
      </c>
      <c r="E214" s="5" t="s">
        <v>25</v>
      </c>
      <c r="F214" s="5" t="s">
        <v>50</v>
      </c>
      <c r="G214" s="7">
        <v>7</v>
      </c>
      <c r="H214" s="8">
        <v>1931.57</v>
      </c>
      <c r="I214" s="9">
        <v>0</v>
      </c>
      <c r="J214" s="8">
        <v>415.06</v>
      </c>
      <c r="K214" s="11">
        <v>0.21488219427719421</v>
      </c>
    </row>
    <row r="215" spans="1:11" x14ac:dyDescent="0.3">
      <c r="A215" s="10" t="s">
        <v>258</v>
      </c>
      <c r="B215" s="6">
        <v>45236</v>
      </c>
      <c r="C215" s="5" t="s">
        <v>16</v>
      </c>
      <c r="D215" s="5" t="s">
        <v>33</v>
      </c>
      <c r="E215" s="5" t="s">
        <v>39</v>
      </c>
      <c r="F215" s="5" t="s">
        <v>48</v>
      </c>
      <c r="G215" s="7">
        <v>7</v>
      </c>
      <c r="H215" s="8">
        <v>775.5</v>
      </c>
      <c r="I215" s="9">
        <v>0.05</v>
      </c>
      <c r="J215" s="8">
        <v>143.35</v>
      </c>
      <c r="K215" s="11">
        <v>0.18484848484848479</v>
      </c>
    </row>
    <row r="216" spans="1:11" x14ac:dyDescent="0.3">
      <c r="A216" s="10" t="s">
        <v>259</v>
      </c>
      <c r="B216" s="6">
        <v>45590</v>
      </c>
      <c r="C216" s="5" t="s">
        <v>20</v>
      </c>
      <c r="D216" s="5" t="s">
        <v>33</v>
      </c>
      <c r="E216" s="5" t="s">
        <v>46</v>
      </c>
      <c r="F216" s="5" t="s">
        <v>37</v>
      </c>
      <c r="G216" s="7">
        <v>4</v>
      </c>
      <c r="H216" s="8">
        <v>3912.06</v>
      </c>
      <c r="I216" s="9">
        <v>0.1</v>
      </c>
      <c r="J216" s="8">
        <v>780.72</v>
      </c>
      <c r="K216" s="11">
        <v>0.19956749129614579</v>
      </c>
    </row>
    <row r="217" spans="1:11" x14ac:dyDescent="0.3">
      <c r="A217" s="10" t="s">
        <v>260</v>
      </c>
      <c r="B217" s="6">
        <v>45396</v>
      </c>
      <c r="C217" s="5" t="s">
        <v>16</v>
      </c>
      <c r="D217" s="5" t="s">
        <v>12</v>
      </c>
      <c r="E217" s="5" t="s">
        <v>31</v>
      </c>
      <c r="F217" s="5" t="s">
        <v>75</v>
      </c>
      <c r="G217" s="7">
        <v>7</v>
      </c>
      <c r="H217" s="8">
        <v>3777.55</v>
      </c>
      <c r="I217" s="9">
        <v>0</v>
      </c>
      <c r="J217" s="8">
        <v>757.1</v>
      </c>
      <c r="K217" s="11">
        <v>0.20042090773120139</v>
      </c>
    </row>
    <row r="218" spans="1:11" x14ac:dyDescent="0.3">
      <c r="A218" s="10" t="s">
        <v>261</v>
      </c>
      <c r="B218" s="6">
        <v>45636</v>
      </c>
      <c r="C218" s="5" t="s">
        <v>16</v>
      </c>
      <c r="D218" s="5" t="s">
        <v>33</v>
      </c>
      <c r="E218" s="5" t="s">
        <v>46</v>
      </c>
      <c r="F218" s="5" t="s">
        <v>61</v>
      </c>
      <c r="G218" s="7">
        <v>7</v>
      </c>
      <c r="H218" s="8">
        <v>3354.06</v>
      </c>
      <c r="I218" s="9">
        <v>0.2</v>
      </c>
      <c r="J218" s="8">
        <v>980.45</v>
      </c>
      <c r="K218" s="11">
        <v>0.29231737058967339</v>
      </c>
    </row>
    <row r="219" spans="1:11" x14ac:dyDescent="0.3">
      <c r="A219" s="10" t="s">
        <v>262</v>
      </c>
      <c r="B219" s="6">
        <v>44971</v>
      </c>
      <c r="C219" s="5" t="s">
        <v>30</v>
      </c>
      <c r="D219" s="5" t="s">
        <v>33</v>
      </c>
      <c r="E219" s="5" t="s">
        <v>43</v>
      </c>
      <c r="F219" s="5" t="s">
        <v>50</v>
      </c>
      <c r="G219" s="7">
        <v>8</v>
      </c>
      <c r="H219" s="8">
        <v>2773.4</v>
      </c>
      <c r="I219" s="9">
        <v>0.1</v>
      </c>
      <c r="J219" s="8">
        <v>467.21</v>
      </c>
      <c r="K219" s="11">
        <v>0.16846109468522391</v>
      </c>
    </row>
    <row r="220" spans="1:11" x14ac:dyDescent="0.3">
      <c r="A220" s="10" t="s">
        <v>263</v>
      </c>
      <c r="B220" s="6">
        <v>45172</v>
      </c>
      <c r="C220" s="5" t="s">
        <v>20</v>
      </c>
      <c r="D220" s="5" t="s">
        <v>12</v>
      </c>
      <c r="E220" s="5" t="s">
        <v>43</v>
      </c>
      <c r="F220" s="5" t="s">
        <v>78</v>
      </c>
      <c r="G220" s="7">
        <v>2</v>
      </c>
      <c r="H220" s="8">
        <v>3529.49</v>
      </c>
      <c r="I220" s="9">
        <v>0.1</v>
      </c>
      <c r="J220" s="8">
        <v>747.6</v>
      </c>
      <c r="K220" s="11">
        <v>0.2118153047607445</v>
      </c>
    </row>
    <row r="221" spans="1:11" x14ac:dyDescent="0.3">
      <c r="A221" s="10" t="s">
        <v>264</v>
      </c>
      <c r="B221" s="6">
        <v>45384</v>
      </c>
      <c r="C221" s="5" t="s">
        <v>30</v>
      </c>
      <c r="D221" s="5" t="s">
        <v>21</v>
      </c>
      <c r="E221" s="5" t="s">
        <v>43</v>
      </c>
      <c r="F221" s="5" t="s">
        <v>78</v>
      </c>
      <c r="G221" s="7">
        <v>10</v>
      </c>
      <c r="H221" s="8">
        <v>701.37</v>
      </c>
      <c r="I221" s="9">
        <v>0.1</v>
      </c>
      <c r="J221" s="8">
        <v>146.84</v>
      </c>
      <c r="K221" s="11">
        <v>0.2093616778590473</v>
      </c>
    </row>
    <row r="222" spans="1:11" x14ac:dyDescent="0.3">
      <c r="A222" s="10" t="s">
        <v>265</v>
      </c>
      <c r="B222" s="6">
        <v>45214</v>
      </c>
      <c r="C222" s="5" t="s">
        <v>11</v>
      </c>
      <c r="D222" s="5" t="s">
        <v>21</v>
      </c>
      <c r="E222" s="5" t="s">
        <v>17</v>
      </c>
      <c r="F222" s="5" t="s">
        <v>48</v>
      </c>
      <c r="G222" s="7">
        <v>2</v>
      </c>
      <c r="H222" s="8">
        <v>217.12</v>
      </c>
      <c r="I222" s="9">
        <v>0.15</v>
      </c>
      <c r="J222" s="8">
        <v>35.9</v>
      </c>
      <c r="K222" s="11">
        <v>0.16534635224760499</v>
      </c>
    </row>
    <row r="223" spans="1:11" x14ac:dyDescent="0.3">
      <c r="A223" s="10" t="s">
        <v>266</v>
      </c>
      <c r="B223" s="6">
        <v>45444</v>
      </c>
      <c r="C223" s="5" t="s">
        <v>20</v>
      </c>
      <c r="D223" s="5" t="s">
        <v>21</v>
      </c>
      <c r="E223" s="5" t="s">
        <v>13</v>
      </c>
      <c r="F223" s="5" t="s">
        <v>71</v>
      </c>
      <c r="G223" s="7">
        <v>8</v>
      </c>
      <c r="H223" s="8">
        <v>1051.71</v>
      </c>
      <c r="I223" s="9">
        <v>0.15</v>
      </c>
      <c r="J223" s="8">
        <v>144.83000000000001</v>
      </c>
      <c r="K223" s="11">
        <v>0.1377090642857822</v>
      </c>
    </row>
    <row r="224" spans="1:11" x14ac:dyDescent="0.3">
      <c r="A224" s="10" t="s">
        <v>267</v>
      </c>
      <c r="B224" s="6">
        <v>45422</v>
      </c>
      <c r="C224" s="5" t="s">
        <v>20</v>
      </c>
      <c r="D224" s="5" t="s">
        <v>12</v>
      </c>
      <c r="E224" s="5" t="s">
        <v>31</v>
      </c>
      <c r="F224" s="5" t="s">
        <v>55</v>
      </c>
      <c r="G224" s="7">
        <v>2</v>
      </c>
      <c r="H224" s="8">
        <v>4159.01</v>
      </c>
      <c r="I224" s="9">
        <v>0.05</v>
      </c>
      <c r="J224" s="8">
        <v>1113.73</v>
      </c>
      <c r="K224" s="11">
        <v>0.26778728591660028</v>
      </c>
    </row>
    <row r="225" spans="1:11" x14ac:dyDescent="0.3">
      <c r="A225" s="10" t="s">
        <v>268</v>
      </c>
      <c r="B225" s="6">
        <v>45631</v>
      </c>
      <c r="C225" s="5" t="s">
        <v>20</v>
      </c>
      <c r="D225" s="5" t="s">
        <v>21</v>
      </c>
      <c r="E225" s="5" t="s">
        <v>34</v>
      </c>
      <c r="F225" s="5" t="s">
        <v>78</v>
      </c>
      <c r="G225" s="7">
        <v>4</v>
      </c>
      <c r="H225" s="8">
        <v>2997.69</v>
      </c>
      <c r="I225" s="9">
        <v>0.2</v>
      </c>
      <c r="J225" s="8">
        <v>581.44000000000005</v>
      </c>
      <c r="K225" s="11">
        <v>0.19396268460047569</v>
      </c>
    </row>
    <row r="226" spans="1:11" x14ac:dyDescent="0.3">
      <c r="A226" s="10" t="s">
        <v>269</v>
      </c>
      <c r="B226" s="6">
        <v>45457</v>
      </c>
      <c r="C226" s="5" t="s">
        <v>11</v>
      </c>
      <c r="D226" s="5" t="s">
        <v>21</v>
      </c>
      <c r="E226" s="5" t="s">
        <v>46</v>
      </c>
      <c r="F226" s="5" t="s">
        <v>48</v>
      </c>
      <c r="G226" s="7">
        <v>9</v>
      </c>
      <c r="H226" s="8">
        <v>175.95</v>
      </c>
      <c r="I226" s="9">
        <v>0.2</v>
      </c>
      <c r="J226" s="8">
        <v>41.88</v>
      </c>
      <c r="K226" s="11">
        <v>0.23802216538789431</v>
      </c>
    </row>
    <row r="227" spans="1:11" x14ac:dyDescent="0.3">
      <c r="A227" s="10" t="s">
        <v>270</v>
      </c>
      <c r="B227" s="6">
        <v>44969</v>
      </c>
      <c r="C227" s="5" t="s">
        <v>30</v>
      </c>
      <c r="D227" s="5" t="s">
        <v>21</v>
      </c>
      <c r="E227" s="5" t="s">
        <v>39</v>
      </c>
      <c r="F227" s="5" t="s">
        <v>55</v>
      </c>
      <c r="G227" s="7">
        <v>2</v>
      </c>
      <c r="H227" s="8">
        <v>958.94</v>
      </c>
      <c r="I227" s="9">
        <v>0.15</v>
      </c>
      <c r="J227" s="8">
        <v>61.11</v>
      </c>
      <c r="K227" s="11">
        <v>6.3726614803845907E-2</v>
      </c>
    </row>
    <row r="228" spans="1:11" x14ac:dyDescent="0.3">
      <c r="A228" s="10" t="s">
        <v>271</v>
      </c>
      <c r="B228" s="6">
        <v>45535</v>
      </c>
      <c r="C228" s="5" t="s">
        <v>16</v>
      </c>
      <c r="D228" s="5" t="s">
        <v>12</v>
      </c>
      <c r="E228" s="5" t="s">
        <v>34</v>
      </c>
      <c r="F228" s="5" t="s">
        <v>55</v>
      </c>
      <c r="G228" s="7">
        <v>3</v>
      </c>
      <c r="H228" s="8">
        <v>2852.51</v>
      </c>
      <c r="I228" s="9">
        <v>0.1</v>
      </c>
      <c r="J228" s="8">
        <v>707.85</v>
      </c>
      <c r="K228" s="11">
        <v>0.2481498750223487</v>
      </c>
    </row>
    <row r="229" spans="1:11" x14ac:dyDescent="0.3">
      <c r="A229" s="10" t="s">
        <v>272</v>
      </c>
      <c r="B229" s="6">
        <v>45288</v>
      </c>
      <c r="C229" s="5" t="s">
        <v>20</v>
      </c>
      <c r="D229" s="5" t="s">
        <v>33</v>
      </c>
      <c r="E229" s="5" t="s">
        <v>25</v>
      </c>
      <c r="F229" s="5" t="s">
        <v>37</v>
      </c>
      <c r="G229" s="7">
        <v>3</v>
      </c>
      <c r="H229" s="8">
        <v>3089.61</v>
      </c>
      <c r="I229" s="9">
        <v>0.15</v>
      </c>
      <c r="J229" s="8">
        <v>600.5</v>
      </c>
      <c r="K229" s="11">
        <v>0.19436110059198411</v>
      </c>
    </row>
    <row r="230" spans="1:11" x14ac:dyDescent="0.3">
      <c r="A230" s="10" t="s">
        <v>273</v>
      </c>
      <c r="B230" s="6">
        <v>45326</v>
      </c>
      <c r="C230" s="5" t="s">
        <v>11</v>
      </c>
      <c r="D230" s="5" t="s">
        <v>21</v>
      </c>
      <c r="E230" s="5" t="s">
        <v>46</v>
      </c>
      <c r="F230" s="5" t="s">
        <v>18</v>
      </c>
      <c r="G230" s="7">
        <v>10</v>
      </c>
      <c r="H230" s="8">
        <v>2717.21</v>
      </c>
      <c r="I230" s="9">
        <v>0.05</v>
      </c>
      <c r="J230" s="8">
        <v>614.38</v>
      </c>
      <c r="K230" s="11">
        <v>0.226106925854093</v>
      </c>
    </row>
    <row r="231" spans="1:11" x14ac:dyDescent="0.3">
      <c r="A231" s="10" t="s">
        <v>274</v>
      </c>
      <c r="B231" s="6">
        <v>45637</v>
      </c>
      <c r="C231" s="5" t="s">
        <v>16</v>
      </c>
      <c r="D231" s="5" t="s">
        <v>21</v>
      </c>
      <c r="E231" s="5" t="s">
        <v>31</v>
      </c>
      <c r="F231" s="5" t="s">
        <v>66</v>
      </c>
      <c r="G231" s="7">
        <v>4</v>
      </c>
      <c r="H231" s="8">
        <v>3339.4</v>
      </c>
      <c r="I231" s="9">
        <v>0</v>
      </c>
      <c r="J231" s="8">
        <v>774.46</v>
      </c>
      <c r="K231" s="11">
        <v>0.23191591303827039</v>
      </c>
    </row>
    <row r="232" spans="1:11" x14ac:dyDescent="0.3">
      <c r="A232" s="10" t="s">
        <v>275</v>
      </c>
      <c r="B232" s="6">
        <v>45157</v>
      </c>
      <c r="C232" s="5" t="s">
        <v>20</v>
      </c>
      <c r="D232" s="5" t="s">
        <v>21</v>
      </c>
      <c r="E232" s="5" t="s">
        <v>13</v>
      </c>
      <c r="F232" s="5" t="s">
        <v>48</v>
      </c>
      <c r="G232" s="7">
        <v>9</v>
      </c>
      <c r="H232" s="8">
        <v>2285.12</v>
      </c>
      <c r="I232" s="9">
        <v>0.2</v>
      </c>
      <c r="J232" s="8">
        <v>218.64</v>
      </c>
      <c r="K232" s="11">
        <v>9.5679876767959665E-2</v>
      </c>
    </row>
    <row r="233" spans="1:11" x14ac:dyDescent="0.3">
      <c r="A233" s="10" t="s">
        <v>276</v>
      </c>
      <c r="B233" s="6">
        <v>45296</v>
      </c>
      <c r="C233" s="5" t="s">
        <v>16</v>
      </c>
      <c r="D233" s="5" t="s">
        <v>21</v>
      </c>
      <c r="E233" s="5" t="s">
        <v>13</v>
      </c>
      <c r="F233" s="5" t="s">
        <v>50</v>
      </c>
      <c r="G233" s="7">
        <v>2</v>
      </c>
      <c r="H233" s="8">
        <v>2131.06</v>
      </c>
      <c r="I233" s="9">
        <v>0</v>
      </c>
      <c r="J233" s="8">
        <v>260.14</v>
      </c>
      <c r="K233" s="11">
        <v>0.12207070659671709</v>
      </c>
    </row>
    <row r="234" spans="1:11" x14ac:dyDescent="0.3">
      <c r="A234" s="10" t="s">
        <v>277</v>
      </c>
      <c r="B234" s="6">
        <v>45241</v>
      </c>
      <c r="C234" s="5" t="s">
        <v>20</v>
      </c>
      <c r="D234" s="5" t="s">
        <v>12</v>
      </c>
      <c r="E234" s="5" t="s">
        <v>39</v>
      </c>
      <c r="F234" s="5" t="s">
        <v>22</v>
      </c>
      <c r="G234" s="7">
        <v>6</v>
      </c>
      <c r="H234" s="8">
        <v>4811.05</v>
      </c>
      <c r="I234" s="9">
        <v>0</v>
      </c>
      <c r="J234" s="8">
        <v>1341.4</v>
      </c>
      <c r="K234" s="11">
        <v>0.27881647457415742</v>
      </c>
    </row>
    <row r="235" spans="1:11" x14ac:dyDescent="0.3">
      <c r="A235" s="10" t="s">
        <v>278</v>
      </c>
      <c r="B235" s="6">
        <v>44997</v>
      </c>
      <c r="C235" s="5" t="s">
        <v>20</v>
      </c>
      <c r="D235" s="5" t="s">
        <v>21</v>
      </c>
      <c r="E235" s="5" t="s">
        <v>39</v>
      </c>
      <c r="F235" s="5" t="s">
        <v>75</v>
      </c>
      <c r="G235" s="7">
        <v>6</v>
      </c>
      <c r="H235" s="8">
        <v>430.86</v>
      </c>
      <c r="I235" s="9">
        <v>0.05</v>
      </c>
      <c r="J235" s="8">
        <v>48.03</v>
      </c>
      <c r="K235" s="11">
        <v>0.1114747249686673</v>
      </c>
    </row>
    <row r="236" spans="1:11" x14ac:dyDescent="0.3">
      <c r="A236" s="10" t="s">
        <v>279</v>
      </c>
      <c r="B236" s="6">
        <v>45212</v>
      </c>
      <c r="C236" s="5" t="s">
        <v>20</v>
      </c>
      <c r="D236" s="5" t="s">
        <v>21</v>
      </c>
      <c r="E236" s="5" t="s">
        <v>31</v>
      </c>
      <c r="F236" s="5" t="s">
        <v>26</v>
      </c>
      <c r="G236" s="7">
        <v>10</v>
      </c>
      <c r="H236" s="8">
        <v>3831.99</v>
      </c>
      <c r="I236" s="9">
        <v>0.15</v>
      </c>
      <c r="J236" s="8">
        <v>795.95</v>
      </c>
      <c r="K236" s="11">
        <v>0.20771191991628371</v>
      </c>
    </row>
    <row r="237" spans="1:11" x14ac:dyDescent="0.3">
      <c r="A237" s="10" t="s">
        <v>280</v>
      </c>
      <c r="B237" s="6">
        <v>45015</v>
      </c>
      <c r="C237" s="5" t="s">
        <v>16</v>
      </c>
      <c r="D237" s="5" t="s">
        <v>12</v>
      </c>
      <c r="E237" s="5" t="s">
        <v>31</v>
      </c>
      <c r="F237" s="5" t="s">
        <v>50</v>
      </c>
      <c r="G237" s="7">
        <v>6</v>
      </c>
      <c r="H237" s="8">
        <v>2215.5300000000002</v>
      </c>
      <c r="I237" s="9">
        <v>0.2</v>
      </c>
      <c r="J237" s="8">
        <v>454.85</v>
      </c>
      <c r="K237" s="11">
        <v>0.20530076324852289</v>
      </c>
    </row>
    <row r="238" spans="1:11" x14ac:dyDescent="0.3">
      <c r="A238" s="10" t="s">
        <v>281</v>
      </c>
      <c r="B238" s="6">
        <v>45333</v>
      </c>
      <c r="C238" s="5" t="s">
        <v>30</v>
      </c>
      <c r="D238" s="5" t="s">
        <v>12</v>
      </c>
      <c r="E238" s="5" t="s">
        <v>13</v>
      </c>
      <c r="F238" s="5" t="s">
        <v>44</v>
      </c>
      <c r="G238" s="7">
        <v>2</v>
      </c>
      <c r="H238" s="8">
        <v>1424.68</v>
      </c>
      <c r="I238" s="9">
        <v>0</v>
      </c>
      <c r="J238" s="8">
        <v>258.26</v>
      </c>
      <c r="K238" s="11">
        <v>0.18127579526630541</v>
      </c>
    </row>
    <row r="239" spans="1:11" x14ac:dyDescent="0.3">
      <c r="A239" s="10" t="s">
        <v>282</v>
      </c>
      <c r="B239" s="6">
        <v>44941</v>
      </c>
      <c r="C239" s="5" t="s">
        <v>16</v>
      </c>
      <c r="D239" s="5" t="s">
        <v>12</v>
      </c>
      <c r="E239" s="5" t="s">
        <v>43</v>
      </c>
      <c r="F239" s="5" t="s">
        <v>78</v>
      </c>
      <c r="G239" s="7">
        <v>1</v>
      </c>
      <c r="H239" s="8">
        <v>132.22</v>
      </c>
      <c r="I239" s="9">
        <v>0.1</v>
      </c>
      <c r="J239" s="8">
        <v>8.18</v>
      </c>
      <c r="K239" s="11">
        <v>6.18665859930419E-2</v>
      </c>
    </row>
    <row r="240" spans="1:11" x14ac:dyDescent="0.3">
      <c r="A240" s="10" t="s">
        <v>283</v>
      </c>
      <c r="B240" s="6">
        <v>45287</v>
      </c>
      <c r="C240" s="5" t="s">
        <v>30</v>
      </c>
      <c r="D240" s="5" t="s">
        <v>12</v>
      </c>
      <c r="E240" s="5" t="s">
        <v>31</v>
      </c>
      <c r="F240" s="5" t="s">
        <v>75</v>
      </c>
      <c r="G240" s="7">
        <v>6</v>
      </c>
      <c r="H240" s="8">
        <v>3854.24</v>
      </c>
      <c r="I240" s="9">
        <v>0.2</v>
      </c>
      <c r="J240" s="8">
        <v>945.97</v>
      </c>
      <c r="K240" s="11">
        <v>0.2454361949437503</v>
      </c>
    </row>
    <row r="241" spans="1:11" x14ac:dyDescent="0.3">
      <c r="A241" s="10" t="s">
        <v>284</v>
      </c>
      <c r="B241" s="6">
        <v>45156</v>
      </c>
      <c r="C241" s="5" t="s">
        <v>30</v>
      </c>
      <c r="D241" s="5" t="s">
        <v>12</v>
      </c>
      <c r="E241" s="5" t="s">
        <v>31</v>
      </c>
      <c r="F241" s="5" t="s">
        <v>78</v>
      </c>
      <c r="G241" s="7">
        <v>8</v>
      </c>
      <c r="H241" s="8">
        <v>3811.15</v>
      </c>
      <c r="I241" s="9">
        <v>0.15</v>
      </c>
      <c r="J241" s="8">
        <v>670.31</v>
      </c>
      <c r="K241" s="11">
        <v>0.17588129567190999</v>
      </c>
    </row>
    <row r="242" spans="1:11" x14ac:dyDescent="0.3">
      <c r="A242" s="10" t="s">
        <v>285</v>
      </c>
      <c r="B242" s="6">
        <v>45577</v>
      </c>
      <c r="C242" s="5" t="s">
        <v>16</v>
      </c>
      <c r="D242" s="5" t="s">
        <v>12</v>
      </c>
      <c r="E242" s="5" t="s">
        <v>13</v>
      </c>
      <c r="F242" s="5" t="s">
        <v>41</v>
      </c>
      <c r="G242" s="7">
        <v>6</v>
      </c>
      <c r="H242" s="8">
        <v>3074.1</v>
      </c>
      <c r="I242" s="9">
        <v>0</v>
      </c>
      <c r="J242" s="8">
        <v>842.87</v>
      </c>
      <c r="K242" s="11">
        <v>0.27418431410819433</v>
      </c>
    </row>
    <row r="243" spans="1:11" x14ac:dyDescent="0.3">
      <c r="A243" s="10" t="s">
        <v>286</v>
      </c>
      <c r="B243" s="6">
        <v>44949</v>
      </c>
      <c r="C243" s="5" t="s">
        <v>30</v>
      </c>
      <c r="D243" s="5" t="s">
        <v>33</v>
      </c>
      <c r="E243" s="5" t="s">
        <v>17</v>
      </c>
      <c r="F243" s="5" t="s">
        <v>48</v>
      </c>
      <c r="G243" s="7">
        <v>2</v>
      </c>
      <c r="H243" s="8">
        <v>1941.83</v>
      </c>
      <c r="I243" s="9">
        <v>0</v>
      </c>
      <c r="J243" s="8">
        <v>172.6</v>
      </c>
      <c r="K243" s="11">
        <v>8.8885226822121396E-2</v>
      </c>
    </row>
    <row r="244" spans="1:11" x14ac:dyDescent="0.3">
      <c r="A244" s="10" t="s">
        <v>287</v>
      </c>
      <c r="B244" s="6">
        <v>45179</v>
      </c>
      <c r="C244" s="5" t="s">
        <v>20</v>
      </c>
      <c r="D244" s="5" t="s">
        <v>33</v>
      </c>
      <c r="E244" s="5" t="s">
        <v>43</v>
      </c>
      <c r="F244" s="5" t="s">
        <v>26</v>
      </c>
      <c r="G244" s="7">
        <v>2</v>
      </c>
      <c r="H244" s="8">
        <v>3881.44</v>
      </c>
      <c r="I244" s="9">
        <v>0.05</v>
      </c>
      <c r="J244" s="8">
        <v>1160.45</v>
      </c>
      <c r="K244" s="11">
        <v>0.29897409208953379</v>
      </c>
    </row>
    <row r="245" spans="1:11" x14ac:dyDescent="0.3">
      <c r="A245" s="10" t="s">
        <v>288</v>
      </c>
      <c r="B245" s="6">
        <v>45509</v>
      </c>
      <c r="C245" s="5" t="s">
        <v>11</v>
      </c>
      <c r="D245" s="5" t="s">
        <v>21</v>
      </c>
      <c r="E245" s="5" t="s">
        <v>43</v>
      </c>
      <c r="F245" s="5" t="s">
        <v>66</v>
      </c>
      <c r="G245" s="7">
        <v>8</v>
      </c>
      <c r="H245" s="8">
        <v>1299.1199999999999</v>
      </c>
      <c r="I245" s="9">
        <v>0.1</v>
      </c>
      <c r="J245" s="8">
        <v>117.39</v>
      </c>
      <c r="K245" s="11">
        <v>9.0361167559578806E-2</v>
      </c>
    </row>
    <row r="246" spans="1:11" x14ac:dyDescent="0.3">
      <c r="A246" s="10" t="s">
        <v>289</v>
      </c>
      <c r="B246" s="6">
        <v>44939</v>
      </c>
      <c r="C246" s="5" t="s">
        <v>20</v>
      </c>
      <c r="D246" s="5" t="s">
        <v>12</v>
      </c>
      <c r="E246" s="5" t="s">
        <v>17</v>
      </c>
      <c r="F246" s="5" t="s">
        <v>50</v>
      </c>
      <c r="G246" s="7">
        <v>10</v>
      </c>
      <c r="H246" s="8">
        <v>3267.26</v>
      </c>
      <c r="I246" s="9">
        <v>0.15</v>
      </c>
      <c r="J246" s="8">
        <v>746.01</v>
      </c>
      <c r="K246" s="11">
        <v>0.2283289361728176</v>
      </c>
    </row>
    <row r="247" spans="1:11" x14ac:dyDescent="0.3">
      <c r="A247" s="10" t="s">
        <v>290</v>
      </c>
      <c r="B247" s="6">
        <v>45260</v>
      </c>
      <c r="C247" s="5" t="s">
        <v>11</v>
      </c>
      <c r="D247" s="5" t="s">
        <v>33</v>
      </c>
      <c r="E247" s="5" t="s">
        <v>17</v>
      </c>
      <c r="F247" s="5" t="s">
        <v>48</v>
      </c>
      <c r="G247" s="7">
        <v>8</v>
      </c>
      <c r="H247" s="8">
        <v>701.38</v>
      </c>
      <c r="I247" s="9">
        <v>0</v>
      </c>
      <c r="J247" s="8">
        <v>201.21</v>
      </c>
      <c r="K247" s="11">
        <v>0.28687729903903741</v>
      </c>
    </row>
    <row r="248" spans="1:11" x14ac:dyDescent="0.3">
      <c r="A248" s="10" t="s">
        <v>291</v>
      </c>
      <c r="B248" s="6">
        <v>45455</v>
      </c>
      <c r="C248" s="5" t="s">
        <v>11</v>
      </c>
      <c r="D248" s="5" t="s">
        <v>21</v>
      </c>
      <c r="E248" s="5" t="s">
        <v>25</v>
      </c>
      <c r="F248" s="5" t="s">
        <v>66</v>
      </c>
      <c r="G248" s="7">
        <v>3</v>
      </c>
      <c r="H248" s="8">
        <v>1178.54</v>
      </c>
      <c r="I248" s="9">
        <v>0.05</v>
      </c>
      <c r="J248" s="8">
        <v>343.07</v>
      </c>
      <c r="K248" s="11">
        <v>0.29109745956861882</v>
      </c>
    </row>
    <row r="249" spans="1:11" x14ac:dyDescent="0.3">
      <c r="A249" s="10" t="s">
        <v>292</v>
      </c>
      <c r="B249" s="6">
        <v>45141</v>
      </c>
      <c r="C249" s="5" t="s">
        <v>16</v>
      </c>
      <c r="D249" s="5" t="s">
        <v>12</v>
      </c>
      <c r="E249" s="5" t="s">
        <v>34</v>
      </c>
      <c r="F249" s="5" t="s">
        <v>75</v>
      </c>
      <c r="G249" s="7">
        <v>10</v>
      </c>
      <c r="H249" s="8">
        <v>3332.24</v>
      </c>
      <c r="I249" s="9">
        <v>0.2</v>
      </c>
      <c r="J249" s="8">
        <v>504.69</v>
      </c>
      <c r="K249" s="11">
        <v>0.15145667779031519</v>
      </c>
    </row>
    <row r="250" spans="1:11" x14ac:dyDescent="0.3">
      <c r="A250" s="10" t="s">
        <v>293</v>
      </c>
      <c r="B250" s="6">
        <v>45139</v>
      </c>
      <c r="C250" s="5" t="s">
        <v>16</v>
      </c>
      <c r="D250" s="5" t="s">
        <v>21</v>
      </c>
      <c r="E250" s="5" t="s">
        <v>43</v>
      </c>
      <c r="F250" s="5" t="s">
        <v>75</v>
      </c>
      <c r="G250" s="7">
        <v>1</v>
      </c>
      <c r="H250" s="8">
        <v>3764.93</v>
      </c>
      <c r="I250" s="9">
        <v>0</v>
      </c>
      <c r="J250" s="8">
        <v>823.04</v>
      </c>
      <c r="K250" s="11">
        <v>0.21860698605286161</v>
      </c>
    </row>
    <row r="251" spans="1:11" x14ac:dyDescent="0.3">
      <c r="A251" s="10" t="s">
        <v>294</v>
      </c>
      <c r="B251" s="6">
        <v>45038</v>
      </c>
      <c r="C251" s="5" t="s">
        <v>16</v>
      </c>
      <c r="D251" s="5" t="s">
        <v>21</v>
      </c>
      <c r="E251" s="5" t="s">
        <v>39</v>
      </c>
      <c r="F251" s="5" t="s">
        <v>41</v>
      </c>
      <c r="G251" s="7">
        <v>8</v>
      </c>
      <c r="H251" s="8">
        <v>4721.6099999999997</v>
      </c>
      <c r="I251" s="9">
        <v>0.05</v>
      </c>
      <c r="J251" s="8">
        <v>553.46</v>
      </c>
      <c r="K251" s="11">
        <v>0.11721849115026441</v>
      </c>
    </row>
    <row r="252" spans="1:11" x14ac:dyDescent="0.3">
      <c r="A252" s="10" t="s">
        <v>295</v>
      </c>
      <c r="B252" s="6">
        <v>45596</v>
      </c>
      <c r="C252" s="5" t="s">
        <v>20</v>
      </c>
      <c r="D252" s="5" t="s">
        <v>21</v>
      </c>
      <c r="E252" s="5" t="s">
        <v>31</v>
      </c>
      <c r="F252" s="5" t="s">
        <v>22</v>
      </c>
      <c r="G252" s="7">
        <v>6</v>
      </c>
      <c r="H252" s="8">
        <v>4466.58</v>
      </c>
      <c r="I252" s="9">
        <v>0.2</v>
      </c>
      <c r="J252" s="8">
        <v>954.39</v>
      </c>
      <c r="K252" s="11">
        <v>0.21367354888975459</v>
      </c>
    </row>
    <row r="253" spans="1:11" x14ac:dyDescent="0.3">
      <c r="A253" s="10" t="s">
        <v>296</v>
      </c>
      <c r="B253" s="6">
        <v>45339</v>
      </c>
      <c r="C253" s="5" t="s">
        <v>20</v>
      </c>
      <c r="D253" s="5" t="s">
        <v>33</v>
      </c>
      <c r="E253" s="5" t="s">
        <v>46</v>
      </c>
      <c r="F253" s="5" t="s">
        <v>48</v>
      </c>
      <c r="G253" s="7">
        <v>8</v>
      </c>
      <c r="H253" s="8">
        <v>2948.44</v>
      </c>
      <c r="I253" s="9">
        <v>0.15</v>
      </c>
      <c r="J253" s="8">
        <v>356.94</v>
      </c>
      <c r="K253" s="11">
        <v>0.121060628671433</v>
      </c>
    </row>
    <row r="254" spans="1:11" x14ac:dyDescent="0.3">
      <c r="A254" s="10" t="s">
        <v>297</v>
      </c>
      <c r="B254" s="6">
        <v>45078</v>
      </c>
      <c r="C254" s="5" t="s">
        <v>20</v>
      </c>
      <c r="D254" s="5" t="s">
        <v>33</v>
      </c>
      <c r="E254" s="5" t="s">
        <v>31</v>
      </c>
      <c r="F254" s="5" t="s">
        <v>44</v>
      </c>
      <c r="G254" s="7">
        <v>10</v>
      </c>
      <c r="H254" s="8">
        <v>3520.89</v>
      </c>
      <c r="I254" s="9">
        <v>0.1</v>
      </c>
      <c r="J254" s="8">
        <v>198.58</v>
      </c>
      <c r="K254" s="11">
        <v>5.6400512370451787E-2</v>
      </c>
    </row>
    <row r="255" spans="1:11" x14ac:dyDescent="0.3">
      <c r="A255" s="10" t="s">
        <v>298</v>
      </c>
      <c r="B255" s="6">
        <v>44976</v>
      </c>
      <c r="C255" s="5" t="s">
        <v>16</v>
      </c>
      <c r="D255" s="5" t="s">
        <v>21</v>
      </c>
      <c r="E255" s="5" t="s">
        <v>43</v>
      </c>
      <c r="F255" s="5" t="s">
        <v>55</v>
      </c>
      <c r="G255" s="7">
        <v>8</v>
      </c>
      <c r="H255" s="8">
        <v>2512.4699999999998</v>
      </c>
      <c r="I255" s="9">
        <v>0.2</v>
      </c>
      <c r="J255" s="8">
        <v>360.26</v>
      </c>
      <c r="K255" s="11">
        <v>0.14338877678141429</v>
      </c>
    </row>
    <row r="256" spans="1:11" x14ac:dyDescent="0.3">
      <c r="A256" s="10" t="s">
        <v>299</v>
      </c>
      <c r="B256" s="6">
        <v>45419</v>
      </c>
      <c r="C256" s="5" t="s">
        <v>20</v>
      </c>
      <c r="D256" s="5" t="s">
        <v>21</v>
      </c>
      <c r="E256" s="5" t="s">
        <v>17</v>
      </c>
      <c r="F256" s="5" t="s">
        <v>53</v>
      </c>
      <c r="G256" s="7">
        <v>6</v>
      </c>
      <c r="H256" s="8">
        <v>1286.1300000000001</v>
      </c>
      <c r="I256" s="9">
        <v>0</v>
      </c>
      <c r="J256" s="8">
        <v>107.77</v>
      </c>
      <c r="K256" s="11">
        <v>8.3794017712050875E-2</v>
      </c>
    </row>
    <row r="257" spans="1:11" x14ac:dyDescent="0.3">
      <c r="A257" s="10" t="s">
        <v>300</v>
      </c>
      <c r="B257" s="6">
        <v>44930</v>
      </c>
      <c r="C257" s="5" t="s">
        <v>20</v>
      </c>
      <c r="D257" s="5" t="s">
        <v>21</v>
      </c>
      <c r="E257" s="5" t="s">
        <v>34</v>
      </c>
      <c r="F257" s="5" t="s">
        <v>71</v>
      </c>
      <c r="G257" s="7">
        <v>6</v>
      </c>
      <c r="H257" s="8">
        <v>4838.6899999999996</v>
      </c>
      <c r="I257" s="9">
        <v>0.1</v>
      </c>
      <c r="J257" s="8">
        <v>417.49</v>
      </c>
      <c r="K257" s="11">
        <v>8.6281617545244688E-2</v>
      </c>
    </row>
    <row r="258" spans="1:11" x14ac:dyDescent="0.3">
      <c r="A258" s="10" t="s">
        <v>301</v>
      </c>
      <c r="B258" s="6">
        <v>45213</v>
      </c>
      <c r="C258" s="5" t="s">
        <v>20</v>
      </c>
      <c r="D258" s="5" t="s">
        <v>12</v>
      </c>
      <c r="E258" s="5" t="s">
        <v>34</v>
      </c>
      <c r="F258" s="5" t="s">
        <v>55</v>
      </c>
      <c r="G258" s="7">
        <v>3</v>
      </c>
      <c r="H258" s="8">
        <v>4584.68</v>
      </c>
      <c r="I258" s="9">
        <v>0.15</v>
      </c>
      <c r="J258" s="8">
        <v>412.05</v>
      </c>
      <c r="K258" s="11">
        <v>8.9875411151923365E-2</v>
      </c>
    </row>
    <row r="259" spans="1:11" x14ac:dyDescent="0.3">
      <c r="A259" s="10" t="s">
        <v>302</v>
      </c>
      <c r="B259" s="6">
        <v>45060</v>
      </c>
      <c r="C259" s="5" t="s">
        <v>16</v>
      </c>
      <c r="D259" s="5" t="s">
        <v>12</v>
      </c>
      <c r="E259" s="5" t="s">
        <v>43</v>
      </c>
      <c r="F259" s="5" t="s">
        <v>26</v>
      </c>
      <c r="G259" s="7">
        <v>6</v>
      </c>
      <c r="H259" s="8">
        <v>3006.92</v>
      </c>
      <c r="I259" s="9">
        <v>0.05</v>
      </c>
      <c r="J259" s="8">
        <v>702.62</v>
      </c>
      <c r="K259" s="11">
        <v>0.2336676732337408</v>
      </c>
    </row>
    <row r="260" spans="1:11" x14ac:dyDescent="0.3">
      <c r="A260" s="10" t="s">
        <v>303</v>
      </c>
      <c r="B260" s="6">
        <v>45315</v>
      </c>
      <c r="C260" s="5" t="s">
        <v>11</v>
      </c>
      <c r="D260" s="5" t="s">
        <v>21</v>
      </c>
      <c r="E260" s="5" t="s">
        <v>46</v>
      </c>
      <c r="F260" s="5" t="s">
        <v>26</v>
      </c>
      <c r="G260" s="7">
        <v>7</v>
      </c>
      <c r="H260" s="8">
        <v>3069.34</v>
      </c>
      <c r="I260" s="9">
        <v>0.1</v>
      </c>
      <c r="J260" s="8">
        <v>675.95</v>
      </c>
      <c r="K260" s="11">
        <v>0.22022649820482579</v>
      </c>
    </row>
    <row r="261" spans="1:11" x14ac:dyDescent="0.3">
      <c r="A261" s="10" t="s">
        <v>304</v>
      </c>
      <c r="B261" s="6">
        <v>45385</v>
      </c>
      <c r="C261" s="5" t="s">
        <v>30</v>
      </c>
      <c r="D261" s="5" t="s">
        <v>12</v>
      </c>
      <c r="E261" s="5" t="s">
        <v>31</v>
      </c>
      <c r="F261" s="5" t="s">
        <v>26</v>
      </c>
      <c r="G261" s="7">
        <v>2</v>
      </c>
      <c r="H261" s="8">
        <v>4564.82</v>
      </c>
      <c r="I261" s="9">
        <v>0.2</v>
      </c>
      <c r="J261" s="8">
        <v>268.79000000000002</v>
      </c>
      <c r="K261" s="11">
        <v>5.8882935143116273E-2</v>
      </c>
    </row>
    <row r="262" spans="1:11" x14ac:dyDescent="0.3">
      <c r="A262" s="10" t="s">
        <v>305</v>
      </c>
      <c r="B262" s="6">
        <v>45300</v>
      </c>
      <c r="C262" s="5" t="s">
        <v>20</v>
      </c>
      <c r="D262" s="5" t="s">
        <v>21</v>
      </c>
      <c r="E262" s="5" t="s">
        <v>46</v>
      </c>
      <c r="F262" s="5" t="s">
        <v>37</v>
      </c>
      <c r="G262" s="7">
        <v>5</v>
      </c>
      <c r="H262" s="8">
        <v>4895.04</v>
      </c>
      <c r="I262" s="9">
        <v>0</v>
      </c>
      <c r="J262" s="8">
        <v>1113.24</v>
      </c>
      <c r="K262" s="11">
        <v>0.22742204353794859</v>
      </c>
    </row>
    <row r="263" spans="1:11" x14ac:dyDescent="0.3">
      <c r="A263" s="10" t="s">
        <v>306</v>
      </c>
      <c r="B263" s="6">
        <v>45610</v>
      </c>
      <c r="C263" s="5" t="s">
        <v>16</v>
      </c>
      <c r="D263" s="5" t="s">
        <v>12</v>
      </c>
      <c r="E263" s="5" t="s">
        <v>46</v>
      </c>
      <c r="F263" s="5" t="s">
        <v>22</v>
      </c>
      <c r="G263" s="7">
        <v>8</v>
      </c>
      <c r="H263" s="8">
        <v>2986.62</v>
      </c>
      <c r="I263" s="9">
        <v>0</v>
      </c>
      <c r="J263" s="8">
        <v>221.97</v>
      </c>
      <c r="K263" s="11">
        <v>7.432147377302771E-2</v>
      </c>
    </row>
    <row r="264" spans="1:11" x14ac:dyDescent="0.3">
      <c r="A264" s="10" t="s">
        <v>307</v>
      </c>
      <c r="B264" s="6">
        <v>45503</v>
      </c>
      <c r="C264" s="5" t="s">
        <v>30</v>
      </c>
      <c r="D264" s="5" t="s">
        <v>12</v>
      </c>
      <c r="E264" s="5" t="s">
        <v>25</v>
      </c>
      <c r="F264" s="5" t="s">
        <v>75</v>
      </c>
      <c r="G264" s="7">
        <v>1</v>
      </c>
      <c r="H264" s="8">
        <v>2820.31</v>
      </c>
      <c r="I264" s="9">
        <v>0</v>
      </c>
      <c r="J264" s="8">
        <v>287.41000000000003</v>
      </c>
      <c r="K264" s="11">
        <v>0.1019072371476895</v>
      </c>
    </row>
    <row r="265" spans="1:11" x14ac:dyDescent="0.3">
      <c r="A265" s="10" t="s">
        <v>308</v>
      </c>
      <c r="B265" s="6">
        <v>45386</v>
      </c>
      <c r="C265" s="5" t="s">
        <v>16</v>
      </c>
      <c r="D265" s="5" t="s">
        <v>21</v>
      </c>
      <c r="E265" s="5" t="s">
        <v>34</v>
      </c>
      <c r="F265" s="5" t="s">
        <v>18</v>
      </c>
      <c r="G265" s="7">
        <v>7</v>
      </c>
      <c r="H265" s="8">
        <v>555.54</v>
      </c>
      <c r="I265" s="9">
        <v>0.05</v>
      </c>
      <c r="J265" s="8">
        <v>42.81</v>
      </c>
      <c r="K265" s="11">
        <v>7.7060157684415168E-2</v>
      </c>
    </row>
    <row r="266" spans="1:11" x14ac:dyDescent="0.3">
      <c r="A266" s="10" t="s">
        <v>309</v>
      </c>
      <c r="B266" s="6">
        <v>45120</v>
      </c>
      <c r="C266" s="5" t="s">
        <v>30</v>
      </c>
      <c r="D266" s="5" t="s">
        <v>12</v>
      </c>
      <c r="E266" s="5" t="s">
        <v>25</v>
      </c>
      <c r="F266" s="5" t="s">
        <v>84</v>
      </c>
      <c r="G266" s="7">
        <v>9</v>
      </c>
      <c r="H266" s="8">
        <v>3995.79</v>
      </c>
      <c r="I266" s="9">
        <v>0</v>
      </c>
      <c r="J266" s="8">
        <v>374.87</v>
      </c>
      <c r="K266" s="11">
        <v>9.3816241594277983E-2</v>
      </c>
    </row>
    <row r="267" spans="1:11" x14ac:dyDescent="0.3">
      <c r="A267" s="10" t="s">
        <v>310</v>
      </c>
      <c r="B267" s="6">
        <v>45587</v>
      </c>
      <c r="C267" s="5" t="s">
        <v>30</v>
      </c>
      <c r="D267" s="5" t="s">
        <v>21</v>
      </c>
      <c r="E267" s="5" t="s">
        <v>25</v>
      </c>
      <c r="F267" s="5" t="s">
        <v>66</v>
      </c>
      <c r="G267" s="7">
        <v>9</v>
      </c>
      <c r="H267" s="8">
        <v>1105.44</v>
      </c>
      <c r="I267" s="9">
        <v>0</v>
      </c>
      <c r="J267" s="8">
        <v>299.76</v>
      </c>
      <c r="K267" s="11">
        <v>0.271168041684759</v>
      </c>
    </row>
    <row r="268" spans="1:11" x14ac:dyDescent="0.3">
      <c r="A268" s="10" t="s">
        <v>311</v>
      </c>
      <c r="B268" s="6">
        <v>45546</v>
      </c>
      <c r="C268" s="5" t="s">
        <v>20</v>
      </c>
      <c r="D268" s="5" t="s">
        <v>21</v>
      </c>
      <c r="E268" s="5" t="s">
        <v>31</v>
      </c>
      <c r="F268" s="5" t="s">
        <v>61</v>
      </c>
      <c r="G268" s="7">
        <v>3</v>
      </c>
      <c r="H268" s="8">
        <v>3619.15</v>
      </c>
      <c r="I268" s="9">
        <v>0</v>
      </c>
      <c r="J268" s="8">
        <v>488.78</v>
      </c>
      <c r="K268" s="11">
        <v>0.13505381097771571</v>
      </c>
    </row>
    <row r="269" spans="1:11" x14ac:dyDescent="0.3">
      <c r="A269" s="10" t="s">
        <v>312</v>
      </c>
      <c r="B269" s="6">
        <v>45492</v>
      </c>
      <c r="C269" s="5" t="s">
        <v>30</v>
      </c>
      <c r="D269" s="5" t="s">
        <v>21</v>
      </c>
      <c r="E269" s="5" t="s">
        <v>31</v>
      </c>
      <c r="F269" s="5" t="s">
        <v>61</v>
      </c>
      <c r="G269" s="7">
        <v>6</v>
      </c>
      <c r="H269" s="8">
        <v>4958.67</v>
      </c>
      <c r="I269" s="9">
        <v>0.1</v>
      </c>
      <c r="J269" s="8">
        <v>494.24</v>
      </c>
      <c r="K269" s="11">
        <v>9.9671887824759456E-2</v>
      </c>
    </row>
    <row r="270" spans="1:11" x14ac:dyDescent="0.3">
      <c r="A270" s="10" t="s">
        <v>313</v>
      </c>
      <c r="B270" s="6">
        <v>45129</v>
      </c>
      <c r="C270" s="5" t="s">
        <v>20</v>
      </c>
      <c r="D270" s="5" t="s">
        <v>12</v>
      </c>
      <c r="E270" s="5" t="s">
        <v>34</v>
      </c>
      <c r="F270" s="5" t="s">
        <v>37</v>
      </c>
      <c r="G270" s="7">
        <v>9</v>
      </c>
      <c r="H270" s="8">
        <v>812.14</v>
      </c>
      <c r="I270" s="9">
        <v>0.05</v>
      </c>
      <c r="J270" s="8">
        <v>122.96</v>
      </c>
      <c r="K270" s="11">
        <v>0.15140246755485509</v>
      </c>
    </row>
    <row r="271" spans="1:11" x14ac:dyDescent="0.3">
      <c r="A271" s="10" t="s">
        <v>314</v>
      </c>
      <c r="B271" s="6">
        <v>45623</v>
      </c>
      <c r="C271" s="5" t="s">
        <v>16</v>
      </c>
      <c r="D271" s="5" t="s">
        <v>12</v>
      </c>
      <c r="E271" s="5" t="s">
        <v>17</v>
      </c>
      <c r="F271" s="5" t="s">
        <v>28</v>
      </c>
      <c r="G271" s="7">
        <v>4</v>
      </c>
      <c r="H271" s="8">
        <v>1725.76</v>
      </c>
      <c r="I271" s="9">
        <v>0.1</v>
      </c>
      <c r="J271" s="8">
        <v>366.14</v>
      </c>
      <c r="K271" s="11">
        <v>0.2121615983682551</v>
      </c>
    </row>
    <row r="272" spans="1:11" x14ac:dyDescent="0.3">
      <c r="A272" s="10" t="s">
        <v>315</v>
      </c>
      <c r="B272" s="6">
        <v>45276</v>
      </c>
      <c r="C272" s="5" t="s">
        <v>11</v>
      </c>
      <c r="D272" s="5" t="s">
        <v>21</v>
      </c>
      <c r="E272" s="5" t="s">
        <v>43</v>
      </c>
      <c r="F272" s="5" t="s">
        <v>48</v>
      </c>
      <c r="G272" s="7">
        <v>8</v>
      </c>
      <c r="H272" s="8">
        <v>3986.43</v>
      </c>
      <c r="I272" s="9">
        <v>0.05</v>
      </c>
      <c r="J272" s="8">
        <v>885.76</v>
      </c>
      <c r="K272" s="11">
        <v>0.2221937924408556</v>
      </c>
    </row>
    <row r="273" spans="1:11" x14ac:dyDescent="0.3">
      <c r="A273" s="10" t="s">
        <v>316</v>
      </c>
      <c r="B273" s="6">
        <v>45105</v>
      </c>
      <c r="C273" s="5" t="s">
        <v>11</v>
      </c>
      <c r="D273" s="5" t="s">
        <v>33</v>
      </c>
      <c r="E273" s="5" t="s">
        <v>39</v>
      </c>
      <c r="F273" s="5" t="s">
        <v>48</v>
      </c>
      <c r="G273" s="7">
        <v>3</v>
      </c>
      <c r="H273" s="8">
        <v>578.29</v>
      </c>
      <c r="I273" s="9">
        <v>0</v>
      </c>
      <c r="J273" s="8">
        <v>97.9</v>
      </c>
      <c r="K273" s="11">
        <v>0.16929222362482491</v>
      </c>
    </row>
    <row r="274" spans="1:11" x14ac:dyDescent="0.3">
      <c r="A274" s="10" t="s">
        <v>317</v>
      </c>
      <c r="B274" s="6">
        <v>45512</v>
      </c>
      <c r="C274" s="5" t="s">
        <v>20</v>
      </c>
      <c r="D274" s="5" t="s">
        <v>33</v>
      </c>
      <c r="E274" s="5" t="s">
        <v>13</v>
      </c>
      <c r="F274" s="5" t="s">
        <v>35</v>
      </c>
      <c r="G274" s="7">
        <v>2</v>
      </c>
      <c r="H274" s="8">
        <v>715.3</v>
      </c>
      <c r="I274" s="9">
        <v>0</v>
      </c>
      <c r="J274" s="8">
        <v>88.21</v>
      </c>
      <c r="K274" s="11">
        <v>0.1233188871802041</v>
      </c>
    </row>
    <row r="275" spans="1:11" x14ac:dyDescent="0.3">
      <c r="A275" s="10" t="s">
        <v>318</v>
      </c>
      <c r="B275" s="6">
        <v>45392</v>
      </c>
      <c r="C275" s="5" t="s">
        <v>20</v>
      </c>
      <c r="D275" s="5" t="s">
        <v>33</v>
      </c>
      <c r="E275" s="5" t="s">
        <v>17</v>
      </c>
      <c r="F275" s="5" t="s">
        <v>90</v>
      </c>
      <c r="G275" s="7">
        <v>8</v>
      </c>
      <c r="H275" s="8">
        <v>1439.64</v>
      </c>
      <c r="I275" s="9">
        <v>0.2</v>
      </c>
      <c r="J275" s="8">
        <v>105.35</v>
      </c>
      <c r="K275" s="11">
        <v>7.3178016726403811E-2</v>
      </c>
    </row>
    <row r="276" spans="1:11" x14ac:dyDescent="0.3">
      <c r="A276" s="10" t="s">
        <v>319</v>
      </c>
      <c r="B276" s="6">
        <v>45378</v>
      </c>
      <c r="C276" s="5" t="s">
        <v>20</v>
      </c>
      <c r="D276" s="5" t="s">
        <v>12</v>
      </c>
      <c r="E276" s="5" t="s">
        <v>25</v>
      </c>
      <c r="F276" s="5" t="s">
        <v>41</v>
      </c>
      <c r="G276" s="7">
        <v>6</v>
      </c>
      <c r="H276" s="8">
        <v>2930.52</v>
      </c>
      <c r="I276" s="9">
        <v>0.2</v>
      </c>
      <c r="J276" s="8">
        <v>634.29</v>
      </c>
      <c r="K276" s="11">
        <v>0.21644281560951639</v>
      </c>
    </row>
    <row r="277" spans="1:11" x14ac:dyDescent="0.3">
      <c r="A277" s="10" t="s">
        <v>320</v>
      </c>
      <c r="B277" s="6">
        <v>45587</v>
      </c>
      <c r="C277" s="5" t="s">
        <v>11</v>
      </c>
      <c r="D277" s="5" t="s">
        <v>21</v>
      </c>
      <c r="E277" s="5" t="s">
        <v>46</v>
      </c>
      <c r="F277" s="5" t="s">
        <v>37</v>
      </c>
      <c r="G277" s="7">
        <v>3</v>
      </c>
      <c r="H277" s="8">
        <v>1573.79</v>
      </c>
      <c r="I277" s="9">
        <v>0.1</v>
      </c>
      <c r="J277" s="8">
        <v>101.35</v>
      </c>
      <c r="K277" s="11">
        <v>6.4398680891351451E-2</v>
      </c>
    </row>
    <row r="278" spans="1:11" x14ac:dyDescent="0.3">
      <c r="A278" s="10" t="s">
        <v>321</v>
      </c>
      <c r="B278" s="6">
        <v>45291</v>
      </c>
      <c r="C278" s="5" t="s">
        <v>20</v>
      </c>
      <c r="D278" s="5" t="s">
        <v>12</v>
      </c>
      <c r="E278" s="5" t="s">
        <v>31</v>
      </c>
      <c r="F278" s="5" t="s">
        <v>75</v>
      </c>
      <c r="G278" s="7">
        <v>4</v>
      </c>
      <c r="H278" s="8">
        <v>3864.74</v>
      </c>
      <c r="I278" s="9">
        <v>0.2</v>
      </c>
      <c r="J278" s="8">
        <v>636.95000000000005</v>
      </c>
      <c r="K278" s="11">
        <v>0.16481056940441019</v>
      </c>
    </row>
    <row r="279" spans="1:11" x14ac:dyDescent="0.3">
      <c r="A279" s="10" t="s">
        <v>322</v>
      </c>
      <c r="B279" s="6">
        <v>45201</v>
      </c>
      <c r="C279" s="5" t="s">
        <v>20</v>
      </c>
      <c r="D279" s="5" t="s">
        <v>21</v>
      </c>
      <c r="E279" s="5" t="s">
        <v>31</v>
      </c>
      <c r="F279" s="5" t="s">
        <v>28</v>
      </c>
      <c r="G279" s="7">
        <v>7</v>
      </c>
      <c r="H279" s="8">
        <v>200.02</v>
      </c>
      <c r="I279" s="9">
        <v>0</v>
      </c>
      <c r="J279" s="8">
        <v>24.33</v>
      </c>
      <c r="K279" s="11">
        <v>0.1216378362163783</v>
      </c>
    </row>
    <row r="280" spans="1:11" x14ac:dyDescent="0.3">
      <c r="A280" s="10" t="s">
        <v>323</v>
      </c>
      <c r="B280" s="6">
        <v>45657</v>
      </c>
      <c r="C280" s="5" t="s">
        <v>11</v>
      </c>
      <c r="D280" s="5" t="s">
        <v>21</v>
      </c>
      <c r="E280" s="5" t="s">
        <v>17</v>
      </c>
      <c r="F280" s="5" t="s">
        <v>84</v>
      </c>
      <c r="G280" s="7">
        <v>2</v>
      </c>
      <c r="H280" s="8">
        <v>2646.91</v>
      </c>
      <c r="I280" s="9">
        <v>0.1</v>
      </c>
      <c r="J280" s="8">
        <v>147.4</v>
      </c>
      <c r="K280" s="11">
        <v>5.5687575323679323E-2</v>
      </c>
    </row>
    <row r="281" spans="1:11" x14ac:dyDescent="0.3">
      <c r="A281" s="10" t="s">
        <v>324</v>
      </c>
      <c r="B281" s="6">
        <v>45566</v>
      </c>
      <c r="C281" s="5" t="s">
        <v>16</v>
      </c>
      <c r="D281" s="5" t="s">
        <v>33</v>
      </c>
      <c r="E281" s="5" t="s">
        <v>43</v>
      </c>
      <c r="F281" s="5" t="s">
        <v>55</v>
      </c>
      <c r="G281" s="7">
        <v>8</v>
      </c>
      <c r="H281" s="8">
        <v>4457.47</v>
      </c>
      <c r="I281" s="9">
        <v>0.15</v>
      </c>
      <c r="J281" s="8">
        <v>284.87</v>
      </c>
      <c r="K281" s="11">
        <v>6.390845030925614E-2</v>
      </c>
    </row>
    <row r="282" spans="1:11" x14ac:dyDescent="0.3">
      <c r="A282" s="10" t="s">
        <v>325</v>
      </c>
      <c r="B282" s="6">
        <v>44970</v>
      </c>
      <c r="C282" s="5" t="s">
        <v>16</v>
      </c>
      <c r="D282" s="5" t="s">
        <v>21</v>
      </c>
      <c r="E282" s="5" t="s">
        <v>43</v>
      </c>
      <c r="F282" s="5" t="s">
        <v>35</v>
      </c>
      <c r="G282" s="7">
        <v>1</v>
      </c>
      <c r="H282" s="8">
        <v>4009.98</v>
      </c>
      <c r="I282" s="9">
        <v>0.05</v>
      </c>
      <c r="J282" s="8">
        <v>825.51</v>
      </c>
      <c r="K282" s="11">
        <v>0.20586386964523509</v>
      </c>
    </row>
    <row r="283" spans="1:11" x14ac:dyDescent="0.3">
      <c r="A283" s="10" t="s">
        <v>326</v>
      </c>
      <c r="B283" s="6">
        <v>45552</v>
      </c>
      <c r="C283" s="5" t="s">
        <v>16</v>
      </c>
      <c r="D283" s="5" t="s">
        <v>33</v>
      </c>
      <c r="E283" s="5" t="s">
        <v>13</v>
      </c>
      <c r="F283" s="5" t="s">
        <v>66</v>
      </c>
      <c r="G283" s="7">
        <v>1</v>
      </c>
      <c r="H283" s="8">
        <v>603.96</v>
      </c>
      <c r="I283" s="9">
        <v>0.2</v>
      </c>
      <c r="J283" s="8">
        <v>112.12</v>
      </c>
      <c r="K283" s="11">
        <v>0.18564143320749721</v>
      </c>
    </row>
    <row r="284" spans="1:11" x14ac:dyDescent="0.3">
      <c r="A284" s="10" t="s">
        <v>327</v>
      </c>
      <c r="B284" s="6">
        <v>45117</v>
      </c>
      <c r="C284" s="5" t="s">
        <v>11</v>
      </c>
      <c r="D284" s="5" t="s">
        <v>12</v>
      </c>
      <c r="E284" s="5" t="s">
        <v>13</v>
      </c>
      <c r="F284" s="5" t="s">
        <v>90</v>
      </c>
      <c r="G284" s="7">
        <v>5</v>
      </c>
      <c r="H284" s="8">
        <v>2382.13</v>
      </c>
      <c r="I284" s="9">
        <v>0.05</v>
      </c>
      <c r="J284" s="8">
        <v>404.81</v>
      </c>
      <c r="K284" s="11">
        <v>0.1699361495804175</v>
      </c>
    </row>
    <row r="285" spans="1:11" x14ac:dyDescent="0.3">
      <c r="A285" s="10" t="s">
        <v>328</v>
      </c>
      <c r="B285" s="6">
        <v>45319</v>
      </c>
      <c r="C285" s="5" t="s">
        <v>11</v>
      </c>
      <c r="D285" s="5" t="s">
        <v>33</v>
      </c>
      <c r="E285" s="5" t="s">
        <v>46</v>
      </c>
      <c r="F285" s="5" t="s">
        <v>55</v>
      </c>
      <c r="G285" s="7">
        <v>8</v>
      </c>
      <c r="H285" s="8">
        <v>1793.37</v>
      </c>
      <c r="I285" s="9">
        <v>0.1</v>
      </c>
      <c r="J285" s="8">
        <v>186.28</v>
      </c>
      <c r="K285" s="11">
        <v>0.1038714821815911</v>
      </c>
    </row>
    <row r="286" spans="1:11" x14ac:dyDescent="0.3">
      <c r="A286" s="10" t="s">
        <v>329</v>
      </c>
      <c r="B286" s="6">
        <v>45554</v>
      </c>
      <c r="C286" s="5" t="s">
        <v>30</v>
      </c>
      <c r="D286" s="5" t="s">
        <v>21</v>
      </c>
      <c r="E286" s="5" t="s">
        <v>31</v>
      </c>
      <c r="F286" s="5" t="s">
        <v>84</v>
      </c>
      <c r="G286" s="7">
        <v>7</v>
      </c>
      <c r="H286" s="8">
        <v>2163.29</v>
      </c>
      <c r="I286" s="9">
        <v>0.1</v>
      </c>
      <c r="J286" s="8">
        <v>341.86</v>
      </c>
      <c r="K286" s="11">
        <v>0.15802781873905031</v>
      </c>
    </row>
    <row r="287" spans="1:11" x14ac:dyDescent="0.3">
      <c r="A287" s="10" t="s">
        <v>330</v>
      </c>
      <c r="B287" s="6">
        <v>45473</v>
      </c>
      <c r="C287" s="5" t="s">
        <v>30</v>
      </c>
      <c r="D287" s="5" t="s">
        <v>12</v>
      </c>
      <c r="E287" s="5" t="s">
        <v>43</v>
      </c>
      <c r="F287" s="5" t="s">
        <v>84</v>
      </c>
      <c r="G287" s="7">
        <v>9</v>
      </c>
      <c r="H287" s="8">
        <v>3297.47</v>
      </c>
      <c r="I287" s="9">
        <v>0.15</v>
      </c>
      <c r="J287" s="8">
        <v>820.25</v>
      </c>
      <c r="K287" s="11">
        <v>0.2487513154024146</v>
      </c>
    </row>
    <row r="288" spans="1:11" x14ac:dyDescent="0.3">
      <c r="A288" s="10" t="s">
        <v>331</v>
      </c>
      <c r="B288" s="6">
        <v>45170</v>
      </c>
      <c r="C288" s="5" t="s">
        <v>30</v>
      </c>
      <c r="D288" s="5" t="s">
        <v>12</v>
      </c>
      <c r="E288" s="5" t="s">
        <v>43</v>
      </c>
      <c r="F288" s="5" t="s">
        <v>18</v>
      </c>
      <c r="G288" s="7">
        <v>4</v>
      </c>
      <c r="H288" s="8">
        <v>2710.9</v>
      </c>
      <c r="I288" s="9">
        <v>0.05</v>
      </c>
      <c r="J288" s="8">
        <v>150.80000000000001</v>
      </c>
      <c r="K288" s="11">
        <v>5.562728245232211E-2</v>
      </c>
    </row>
    <row r="289" spans="1:11" x14ac:dyDescent="0.3">
      <c r="A289" s="10" t="s">
        <v>332</v>
      </c>
      <c r="B289" s="6">
        <v>45461</v>
      </c>
      <c r="C289" s="5" t="s">
        <v>30</v>
      </c>
      <c r="D289" s="5" t="s">
        <v>33</v>
      </c>
      <c r="E289" s="5" t="s">
        <v>13</v>
      </c>
      <c r="F289" s="5" t="s">
        <v>78</v>
      </c>
      <c r="G289" s="7">
        <v>3</v>
      </c>
      <c r="H289" s="8">
        <v>2099.86</v>
      </c>
      <c r="I289" s="9">
        <v>0.1</v>
      </c>
      <c r="J289" s="8">
        <v>297.17</v>
      </c>
      <c r="K289" s="11">
        <v>0.14151895840675091</v>
      </c>
    </row>
    <row r="290" spans="1:11" x14ac:dyDescent="0.3">
      <c r="A290" s="10" t="s">
        <v>333</v>
      </c>
      <c r="B290" s="6">
        <v>44932</v>
      </c>
      <c r="C290" s="5" t="s">
        <v>20</v>
      </c>
      <c r="D290" s="5" t="s">
        <v>21</v>
      </c>
      <c r="E290" s="5" t="s">
        <v>31</v>
      </c>
      <c r="F290" s="5" t="s">
        <v>48</v>
      </c>
      <c r="G290" s="7">
        <v>2</v>
      </c>
      <c r="H290" s="8">
        <v>900.57</v>
      </c>
      <c r="I290" s="9">
        <v>0.05</v>
      </c>
      <c r="J290" s="8">
        <v>108.31</v>
      </c>
      <c r="K290" s="11">
        <v>0.1202682745372375</v>
      </c>
    </row>
    <row r="291" spans="1:11" x14ac:dyDescent="0.3">
      <c r="A291" s="10" t="s">
        <v>334</v>
      </c>
      <c r="B291" s="6">
        <v>45350</v>
      </c>
      <c r="C291" s="5" t="s">
        <v>30</v>
      </c>
      <c r="D291" s="5" t="s">
        <v>33</v>
      </c>
      <c r="E291" s="5" t="s">
        <v>17</v>
      </c>
      <c r="F291" s="5" t="s">
        <v>35</v>
      </c>
      <c r="G291" s="7">
        <v>6</v>
      </c>
      <c r="H291" s="8">
        <v>3969.09</v>
      </c>
      <c r="I291" s="9">
        <v>0.1</v>
      </c>
      <c r="J291" s="8">
        <v>1178.42</v>
      </c>
      <c r="K291" s="11">
        <v>0.29689928925773917</v>
      </c>
    </row>
    <row r="292" spans="1:11" x14ac:dyDescent="0.3">
      <c r="A292" s="10" t="s">
        <v>335</v>
      </c>
      <c r="B292" s="6">
        <v>45004</v>
      </c>
      <c r="C292" s="5" t="s">
        <v>30</v>
      </c>
      <c r="D292" s="5" t="s">
        <v>12</v>
      </c>
      <c r="E292" s="5" t="s">
        <v>39</v>
      </c>
      <c r="F292" s="5" t="s">
        <v>84</v>
      </c>
      <c r="G292" s="7">
        <v>3</v>
      </c>
      <c r="H292" s="8">
        <v>103.17</v>
      </c>
      <c r="I292" s="9">
        <v>0.05</v>
      </c>
      <c r="J292" s="8">
        <v>12.3</v>
      </c>
      <c r="K292" s="11">
        <v>0.119220703692934</v>
      </c>
    </row>
    <row r="293" spans="1:11" x14ac:dyDescent="0.3">
      <c r="A293" s="10" t="s">
        <v>336</v>
      </c>
      <c r="B293" s="6">
        <v>45439</v>
      </c>
      <c r="C293" s="5" t="s">
        <v>16</v>
      </c>
      <c r="D293" s="5" t="s">
        <v>33</v>
      </c>
      <c r="E293" s="5" t="s">
        <v>17</v>
      </c>
      <c r="F293" s="5" t="s">
        <v>44</v>
      </c>
      <c r="G293" s="7">
        <v>10</v>
      </c>
      <c r="H293" s="8">
        <v>323.58999999999997</v>
      </c>
      <c r="I293" s="9">
        <v>0.2</v>
      </c>
      <c r="J293" s="8">
        <v>32.39</v>
      </c>
      <c r="K293" s="11">
        <v>0.10009580024104579</v>
      </c>
    </row>
    <row r="294" spans="1:11" x14ac:dyDescent="0.3">
      <c r="A294" s="10" t="s">
        <v>337</v>
      </c>
      <c r="B294" s="6">
        <v>44961</v>
      </c>
      <c r="C294" s="5" t="s">
        <v>30</v>
      </c>
      <c r="D294" s="5" t="s">
        <v>21</v>
      </c>
      <c r="E294" s="5" t="s">
        <v>39</v>
      </c>
      <c r="F294" s="5" t="s">
        <v>44</v>
      </c>
      <c r="G294" s="7">
        <v>8</v>
      </c>
      <c r="H294" s="8">
        <v>2425.37</v>
      </c>
      <c r="I294" s="9">
        <v>0.05</v>
      </c>
      <c r="J294" s="8">
        <v>447.21</v>
      </c>
      <c r="K294" s="11">
        <v>0.18438836136342079</v>
      </c>
    </row>
    <row r="295" spans="1:11" x14ac:dyDescent="0.3">
      <c r="A295" s="10" t="s">
        <v>338</v>
      </c>
      <c r="B295" s="6">
        <v>45637</v>
      </c>
      <c r="C295" s="5" t="s">
        <v>11</v>
      </c>
      <c r="D295" s="5" t="s">
        <v>33</v>
      </c>
      <c r="E295" s="5" t="s">
        <v>43</v>
      </c>
      <c r="F295" s="5" t="s">
        <v>22</v>
      </c>
      <c r="G295" s="7">
        <v>6</v>
      </c>
      <c r="H295" s="8">
        <v>2632.68</v>
      </c>
      <c r="I295" s="9">
        <v>0.05</v>
      </c>
      <c r="J295" s="8">
        <v>356.44</v>
      </c>
      <c r="K295" s="11">
        <v>0.1353905525927952</v>
      </c>
    </row>
    <row r="296" spans="1:11" x14ac:dyDescent="0.3">
      <c r="A296" s="10" t="s">
        <v>339</v>
      </c>
      <c r="B296" s="6">
        <v>45293</v>
      </c>
      <c r="C296" s="5" t="s">
        <v>16</v>
      </c>
      <c r="D296" s="5" t="s">
        <v>21</v>
      </c>
      <c r="E296" s="5" t="s">
        <v>17</v>
      </c>
      <c r="F296" s="5" t="s">
        <v>26</v>
      </c>
      <c r="G296" s="7">
        <v>9</v>
      </c>
      <c r="H296" s="8">
        <v>3615.09</v>
      </c>
      <c r="I296" s="9">
        <v>0.1</v>
      </c>
      <c r="J296" s="8">
        <v>815.37</v>
      </c>
      <c r="K296" s="11">
        <v>0.2255462519605321</v>
      </c>
    </row>
    <row r="297" spans="1:11" x14ac:dyDescent="0.3">
      <c r="A297" s="10" t="s">
        <v>340</v>
      </c>
      <c r="B297" s="6">
        <v>45120</v>
      </c>
      <c r="C297" s="5" t="s">
        <v>11</v>
      </c>
      <c r="D297" s="5" t="s">
        <v>33</v>
      </c>
      <c r="E297" s="5" t="s">
        <v>46</v>
      </c>
      <c r="F297" s="5" t="s">
        <v>41</v>
      </c>
      <c r="G297" s="7">
        <v>2</v>
      </c>
      <c r="H297" s="8">
        <v>4774.8999999999996</v>
      </c>
      <c r="I297" s="9">
        <v>0</v>
      </c>
      <c r="J297" s="8">
        <v>909.85</v>
      </c>
      <c r="K297" s="11">
        <v>0.19054849316216049</v>
      </c>
    </row>
    <row r="298" spans="1:11" x14ac:dyDescent="0.3">
      <c r="A298" s="10" t="s">
        <v>341</v>
      </c>
      <c r="B298" s="6">
        <v>45307</v>
      </c>
      <c r="C298" s="5" t="s">
        <v>11</v>
      </c>
      <c r="D298" s="5" t="s">
        <v>33</v>
      </c>
      <c r="E298" s="5" t="s">
        <v>31</v>
      </c>
      <c r="F298" s="5" t="s">
        <v>71</v>
      </c>
      <c r="G298" s="7">
        <v>3</v>
      </c>
      <c r="H298" s="8">
        <v>885.06</v>
      </c>
      <c r="I298" s="9">
        <v>0.05</v>
      </c>
      <c r="J298" s="8">
        <v>80.94</v>
      </c>
      <c r="K298" s="11">
        <v>9.1451427021896819E-2</v>
      </c>
    </row>
    <row r="299" spans="1:11" x14ac:dyDescent="0.3">
      <c r="A299" s="10" t="s">
        <v>342</v>
      </c>
      <c r="B299" s="6">
        <v>45515</v>
      </c>
      <c r="C299" s="5" t="s">
        <v>30</v>
      </c>
      <c r="D299" s="5" t="s">
        <v>33</v>
      </c>
      <c r="E299" s="5" t="s">
        <v>13</v>
      </c>
      <c r="F299" s="5" t="s">
        <v>50</v>
      </c>
      <c r="G299" s="7">
        <v>7</v>
      </c>
      <c r="H299" s="8">
        <v>4891.47</v>
      </c>
      <c r="I299" s="9">
        <v>0.15</v>
      </c>
      <c r="J299" s="8">
        <v>1465.11</v>
      </c>
      <c r="K299" s="11">
        <v>0.29952345613895198</v>
      </c>
    </row>
    <row r="300" spans="1:11" x14ac:dyDescent="0.3">
      <c r="A300" s="10" t="s">
        <v>343</v>
      </c>
      <c r="B300" s="6">
        <v>45148</v>
      </c>
      <c r="C300" s="5" t="s">
        <v>16</v>
      </c>
      <c r="D300" s="5" t="s">
        <v>33</v>
      </c>
      <c r="E300" s="5" t="s">
        <v>31</v>
      </c>
      <c r="F300" s="5" t="s">
        <v>18</v>
      </c>
      <c r="G300" s="7">
        <v>1</v>
      </c>
      <c r="H300" s="8">
        <v>217.67</v>
      </c>
      <c r="I300" s="9">
        <v>0.15</v>
      </c>
      <c r="J300" s="8">
        <v>35.299999999999997</v>
      </c>
      <c r="K300" s="11">
        <v>0.1621720953737309</v>
      </c>
    </row>
    <row r="301" spans="1:11" x14ac:dyDescent="0.3">
      <c r="A301" s="19" t="s">
        <v>344</v>
      </c>
      <c r="B301" s="20">
        <v>45120</v>
      </c>
      <c r="C301" s="21" t="s">
        <v>20</v>
      </c>
      <c r="D301" s="21" t="s">
        <v>12</v>
      </c>
      <c r="E301" s="21" t="s">
        <v>46</v>
      </c>
      <c r="F301" s="21" t="s">
        <v>55</v>
      </c>
      <c r="G301" s="22">
        <v>9</v>
      </c>
      <c r="H301" s="23">
        <v>867.37</v>
      </c>
      <c r="I301" s="24">
        <v>0.15</v>
      </c>
      <c r="J301" s="23">
        <v>95.17</v>
      </c>
      <c r="K301" s="25">
        <v>0.10972249443720671</v>
      </c>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AC51-807D-4865-B998-7B2AA50A21CA}">
  <dimension ref="A1:K31"/>
  <sheetViews>
    <sheetView topLeftCell="C1" zoomScale="78" workbookViewId="0">
      <selection activeCell="K20" sqref="K20"/>
    </sheetView>
  </sheetViews>
  <sheetFormatPr defaultRowHeight="14.4" x14ac:dyDescent="0.3"/>
  <cols>
    <col min="1" max="1" width="22.44140625" style="27" customWidth="1"/>
    <col min="2" max="2" width="25.33203125" customWidth="1"/>
    <col min="3" max="3" width="20.21875" customWidth="1"/>
    <col min="4" max="4" width="22.5546875" customWidth="1"/>
    <col min="5" max="5" width="31.44140625" customWidth="1"/>
    <col min="6" max="6" width="19.5546875" customWidth="1"/>
    <col min="7" max="7" width="11.6640625" customWidth="1"/>
    <col min="8" max="8" width="21.88671875" customWidth="1"/>
    <col min="10" max="10" width="23.88671875" customWidth="1"/>
    <col min="11" max="11" width="28" customWidth="1"/>
  </cols>
  <sheetData>
    <row r="1" spans="1:11" ht="16.2" x14ac:dyDescent="0.35">
      <c r="A1" s="28" t="s">
        <v>345</v>
      </c>
      <c r="B1" s="28" t="s">
        <v>372</v>
      </c>
      <c r="C1" s="28" t="s">
        <v>373</v>
      </c>
      <c r="D1" s="28" t="s">
        <v>374</v>
      </c>
      <c r="E1" s="33" t="s">
        <v>375</v>
      </c>
      <c r="F1" s="28" t="s">
        <v>376</v>
      </c>
      <c r="G1" s="28" t="s">
        <v>377</v>
      </c>
      <c r="H1" s="28" t="s">
        <v>378</v>
      </c>
      <c r="J1" s="80" t="s">
        <v>379</v>
      </c>
      <c r="K1" s="80"/>
    </row>
    <row r="2" spans="1:11" x14ac:dyDescent="0.3">
      <c r="A2" s="5" t="s">
        <v>13</v>
      </c>
      <c r="B2" s="5" t="s">
        <v>12</v>
      </c>
      <c r="C2" s="5" t="str">
        <f>VLOOKUP(A2,$A$2:$B$26,2,FALSE)</f>
        <v>Furniture</v>
      </c>
      <c r="D2" s="5" t="str">
        <f>INDEX($B$2:$B$26,MATCH(A2,$A$2:$A$26,0))</f>
        <v>Furniture</v>
      </c>
      <c r="E2" s="8">
        <v>3497.31</v>
      </c>
      <c r="F2" s="5" t="str">
        <f>IF(E2&gt;=4000,"High","Low")</f>
        <v>Low</v>
      </c>
      <c r="G2" s="5" t="str">
        <f>IF(E2&gt;=4000,"A",IF(E2&gt;=2000,"B",IF(E2&gt;=1000,"C","D")))</f>
        <v>B</v>
      </c>
      <c r="H2" s="5" t="str">
        <f>IF(AND(E2&gt;=2000,E2&lt;=4000),"Target Achieved","Below Target")</f>
        <v>Target Achieved</v>
      </c>
      <c r="J2" s="30" t="s">
        <v>380</v>
      </c>
      <c r="K2" s="30" t="s">
        <v>381</v>
      </c>
    </row>
    <row r="3" spans="1:11" ht="28.8" x14ac:dyDescent="0.3">
      <c r="A3" s="5" t="s">
        <v>17</v>
      </c>
      <c r="B3" s="5" t="s">
        <v>12</v>
      </c>
      <c r="C3" s="5" t="str">
        <f t="shared" ref="C3:C31" si="0">VLOOKUP(A3,$A$2:$B$26,2,FALSE)</f>
        <v>Furniture</v>
      </c>
      <c r="D3" s="5" t="str">
        <f t="shared" ref="D3:D31" si="1">INDEX($B$2:$B$26,MATCH(A3,$A$2:$A$26,0))</f>
        <v>Furniture</v>
      </c>
      <c r="E3" s="8">
        <v>3231.61</v>
      </c>
      <c r="F3" s="5" t="str">
        <f t="shared" ref="F3:F31" si="2">IF(E3&gt;=4000,"High","Low")</f>
        <v>Low</v>
      </c>
      <c r="G3" s="5" t="str">
        <f t="shared" ref="G3:G31" si="3">IF(E3&gt;=4000,"A",IF(E3&gt;=2000,"B",IF(E3&gt;=1000,"C","D")))</f>
        <v>B</v>
      </c>
      <c r="H3" s="5" t="str">
        <f t="shared" ref="H3:H31" si="4">IF(AND(E3&gt;=2000,E3&lt;=4000),"Target Achieved","Below Target")</f>
        <v>Target Achieved</v>
      </c>
      <c r="J3" s="31" t="s">
        <v>382</v>
      </c>
      <c r="K3" s="32" t="s">
        <v>383</v>
      </c>
    </row>
    <row r="4" spans="1:11" x14ac:dyDescent="0.3">
      <c r="A4" s="5" t="s">
        <v>13</v>
      </c>
      <c r="B4" s="5" t="s">
        <v>21</v>
      </c>
      <c r="C4" s="5" t="str">
        <f t="shared" si="0"/>
        <v>Furniture</v>
      </c>
      <c r="D4" s="5" t="str">
        <f t="shared" si="1"/>
        <v>Furniture</v>
      </c>
      <c r="E4" s="8">
        <v>3844.45</v>
      </c>
      <c r="F4" s="5" t="str">
        <f t="shared" si="2"/>
        <v>Low</v>
      </c>
      <c r="G4" s="5" t="str">
        <f t="shared" si="3"/>
        <v>B</v>
      </c>
      <c r="H4" s="5" t="str">
        <f t="shared" si="4"/>
        <v>Target Achieved</v>
      </c>
      <c r="J4" s="31" t="s">
        <v>384</v>
      </c>
      <c r="K4" s="31" t="s">
        <v>385</v>
      </c>
    </row>
    <row r="5" spans="1:11" x14ac:dyDescent="0.3">
      <c r="A5" s="5" t="s">
        <v>13</v>
      </c>
      <c r="B5" s="5" t="s">
        <v>12</v>
      </c>
      <c r="C5" s="5" t="str">
        <f t="shared" si="0"/>
        <v>Furniture</v>
      </c>
      <c r="D5" s="5" t="str">
        <f t="shared" si="1"/>
        <v>Furniture</v>
      </c>
      <c r="E5" s="8">
        <v>124.67</v>
      </c>
      <c r="F5" s="5" t="str">
        <f t="shared" si="2"/>
        <v>Low</v>
      </c>
      <c r="G5" s="5" t="str">
        <f t="shared" si="3"/>
        <v>D</v>
      </c>
      <c r="H5" s="5" t="str">
        <f t="shared" si="4"/>
        <v>Below Target</v>
      </c>
      <c r="J5" s="31" t="s">
        <v>386</v>
      </c>
      <c r="K5" s="32" t="s">
        <v>387</v>
      </c>
    </row>
    <row r="6" spans="1:11" x14ac:dyDescent="0.3">
      <c r="A6" s="5" t="s">
        <v>25</v>
      </c>
      <c r="B6" s="5" t="s">
        <v>21</v>
      </c>
      <c r="C6" s="5" t="str">
        <f t="shared" si="0"/>
        <v>Technology</v>
      </c>
      <c r="D6" s="5" t="str">
        <f t="shared" si="1"/>
        <v>Technology</v>
      </c>
      <c r="E6" s="8">
        <v>3724.01</v>
      </c>
      <c r="F6" s="5" t="str">
        <f t="shared" si="2"/>
        <v>Low</v>
      </c>
      <c r="G6" s="5" t="str">
        <f t="shared" si="3"/>
        <v>B</v>
      </c>
      <c r="H6" s="5" t="str">
        <f t="shared" si="4"/>
        <v>Target Achieved</v>
      </c>
      <c r="J6" s="31" t="s">
        <v>388</v>
      </c>
      <c r="K6" s="32" t="s">
        <v>389</v>
      </c>
    </row>
    <row r="7" spans="1:11" ht="16.2" customHeight="1" x14ac:dyDescent="0.3">
      <c r="A7" s="5" t="s">
        <v>13</v>
      </c>
      <c r="B7" s="5" t="s">
        <v>21</v>
      </c>
      <c r="C7" s="5" t="str">
        <f t="shared" si="0"/>
        <v>Furniture</v>
      </c>
      <c r="D7" s="5" t="str">
        <f t="shared" si="1"/>
        <v>Furniture</v>
      </c>
      <c r="E7" s="8">
        <v>3387.89</v>
      </c>
      <c r="F7" s="5" t="str">
        <f t="shared" si="2"/>
        <v>Low</v>
      </c>
      <c r="G7" s="5" t="str">
        <f t="shared" si="3"/>
        <v>B</v>
      </c>
      <c r="H7" s="5" t="str">
        <f t="shared" si="4"/>
        <v>Target Achieved</v>
      </c>
      <c r="J7" s="31" t="s">
        <v>390</v>
      </c>
      <c r="K7" s="32" t="s">
        <v>391</v>
      </c>
    </row>
    <row r="8" spans="1:11" x14ac:dyDescent="0.3">
      <c r="A8" s="5" t="s">
        <v>31</v>
      </c>
      <c r="B8" s="5" t="s">
        <v>21</v>
      </c>
      <c r="C8" s="5" t="str">
        <f t="shared" si="0"/>
        <v>Technology</v>
      </c>
      <c r="D8" s="5" t="str">
        <f t="shared" si="1"/>
        <v>Technology</v>
      </c>
      <c r="E8" s="8">
        <v>3105.86</v>
      </c>
      <c r="F8" s="5" t="str">
        <f t="shared" si="2"/>
        <v>Low</v>
      </c>
      <c r="G8" s="5" t="str">
        <f t="shared" si="3"/>
        <v>B</v>
      </c>
      <c r="H8" s="5" t="str">
        <f t="shared" si="4"/>
        <v>Target Achieved</v>
      </c>
    </row>
    <row r="9" spans="1:11" x14ac:dyDescent="0.3">
      <c r="A9" s="5" t="s">
        <v>34</v>
      </c>
      <c r="B9" s="5" t="s">
        <v>33</v>
      </c>
      <c r="C9" s="5" t="str">
        <f t="shared" si="0"/>
        <v>Office Supplies</v>
      </c>
      <c r="D9" s="5" t="str">
        <f t="shared" si="1"/>
        <v>Office Supplies</v>
      </c>
      <c r="E9" s="8">
        <v>854.48</v>
      </c>
      <c r="F9" s="5" t="str">
        <f t="shared" si="2"/>
        <v>Low</v>
      </c>
      <c r="G9" s="5" t="str">
        <f t="shared" si="3"/>
        <v>D</v>
      </c>
      <c r="H9" s="5" t="str">
        <f t="shared" si="4"/>
        <v>Below Target</v>
      </c>
    </row>
    <row r="10" spans="1:11" x14ac:dyDescent="0.3">
      <c r="A10" s="5" t="s">
        <v>25</v>
      </c>
      <c r="B10" s="5" t="s">
        <v>12</v>
      </c>
      <c r="C10" s="5" t="str">
        <f t="shared" si="0"/>
        <v>Technology</v>
      </c>
      <c r="D10" s="5" t="str">
        <f t="shared" si="1"/>
        <v>Technology</v>
      </c>
      <c r="E10" s="8">
        <v>1473.23</v>
      </c>
      <c r="F10" s="5" t="str">
        <f t="shared" si="2"/>
        <v>Low</v>
      </c>
      <c r="G10" s="5" t="str">
        <f t="shared" si="3"/>
        <v>C</v>
      </c>
      <c r="H10" s="5" t="str">
        <f t="shared" si="4"/>
        <v>Below Target</v>
      </c>
    </row>
    <row r="11" spans="1:11" x14ac:dyDescent="0.3">
      <c r="A11" s="5" t="s">
        <v>39</v>
      </c>
      <c r="B11" s="5" t="s">
        <v>21</v>
      </c>
      <c r="C11" s="5" t="str">
        <f t="shared" si="0"/>
        <v>Technology</v>
      </c>
      <c r="D11" s="5" t="str">
        <f t="shared" si="1"/>
        <v>Technology</v>
      </c>
      <c r="E11" s="8">
        <v>2056.86</v>
      </c>
      <c r="F11" s="5" t="str">
        <f t="shared" si="2"/>
        <v>Low</v>
      </c>
      <c r="G11" s="5" t="str">
        <f t="shared" si="3"/>
        <v>B</v>
      </c>
      <c r="H11" s="5" t="str">
        <f t="shared" si="4"/>
        <v>Target Achieved</v>
      </c>
    </row>
    <row r="12" spans="1:11" x14ac:dyDescent="0.3">
      <c r="A12" s="5" t="s">
        <v>13</v>
      </c>
      <c r="B12" s="5" t="s">
        <v>33</v>
      </c>
      <c r="C12" s="5" t="str">
        <f t="shared" si="0"/>
        <v>Furniture</v>
      </c>
      <c r="D12" s="5" t="str">
        <f t="shared" si="1"/>
        <v>Furniture</v>
      </c>
      <c r="E12" s="8">
        <v>2171.88</v>
      </c>
      <c r="F12" s="5" t="str">
        <f t="shared" si="2"/>
        <v>Low</v>
      </c>
      <c r="G12" s="5" t="str">
        <f t="shared" si="3"/>
        <v>B</v>
      </c>
      <c r="H12" s="5" t="str">
        <f t="shared" si="4"/>
        <v>Target Achieved</v>
      </c>
    </row>
    <row r="13" spans="1:11" x14ac:dyDescent="0.3">
      <c r="A13" s="5" t="s">
        <v>43</v>
      </c>
      <c r="B13" s="5" t="s">
        <v>12</v>
      </c>
      <c r="C13" s="5" t="str">
        <f t="shared" si="0"/>
        <v>Furniture</v>
      </c>
      <c r="D13" s="5" t="str">
        <f t="shared" si="1"/>
        <v>Furniture</v>
      </c>
      <c r="E13" s="8">
        <v>2738.48</v>
      </c>
      <c r="F13" s="5" t="str">
        <f t="shared" si="2"/>
        <v>Low</v>
      </c>
      <c r="G13" s="5" t="str">
        <f t="shared" si="3"/>
        <v>B</v>
      </c>
      <c r="H13" s="5" t="str">
        <f t="shared" si="4"/>
        <v>Target Achieved</v>
      </c>
    </row>
    <row r="14" spans="1:11" x14ac:dyDescent="0.3">
      <c r="A14" s="5" t="s">
        <v>46</v>
      </c>
      <c r="B14" s="5" t="s">
        <v>21</v>
      </c>
      <c r="C14" s="5" t="str">
        <f t="shared" si="0"/>
        <v>Technology</v>
      </c>
      <c r="D14" s="5" t="str">
        <f t="shared" si="1"/>
        <v>Technology</v>
      </c>
      <c r="E14" s="8">
        <v>1462.49</v>
      </c>
      <c r="F14" s="5" t="str">
        <f t="shared" si="2"/>
        <v>Low</v>
      </c>
      <c r="G14" s="5" t="str">
        <f t="shared" si="3"/>
        <v>C</v>
      </c>
      <c r="H14" s="5" t="str">
        <f t="shared" si="4"/>
        <v>Below Target</v>
      </c>
    </row>
    <row r="15" spans="1:11" x14ac:dyDescent="0.3">
      <c r="A15" s="5" t="s">
        <v>34</v>
      </c>
      <c r="B15" s="5" t="s">
        <v>21</v>
      </c>
      <c r="C15" s="5" t="str">
        <f t="shared" si="0"/>
        <v>Office Supplies</v>
      </c>
      <c r="D15" s="5" t="str">
        <f t="shared" si="1"/>
        <v>Office Supplies</v>
      </c>
      <c r="E15" s="8">
        <v>4716.99</v>
      </c>
      <c r="F15" s="5" t="str">
        <f t="shared" si="2"/>
        <v>High</v>
      </c>
      <c r="G15" s="5" t="str">
        <f t="shared" si="3"/>
        <v>A</v>
      </c>
      <c r="H15" s="5" t="str">
        <f t="shared" si="4"/>
        <v>Below Target</v>
      </c>
    </row>
    <row r="16" spans="1:11" x14ac:dyDescent="0.3">
      <c r="A16" s="5" t="s">
        <v>31</v>
      </c>
      <c r="B16" s="5" t="s">
        <v>12</v>
      </c>
      <c r="C16" s="5" t="str">
        <f t="shared" si="0"/>
        <v>Technology</v>
      </c>
      <c r="D16" s="5" t="str">
        <f t="shared" si="1"/>
        <v>Technology</v>
      </c>
      <c r="E16" s="8">
        <v>2740.53</v>
      </c>
      <c r="F16" s="5" t="str">
        <f t="shared" si="2"/>
        <v>Low</v>
      </c>
      <c r="G16" s="5" t="str">
        <f t="shared" si="3"/>
        <v>B</v>
      </c>
      <c r="H16" s="5" t="str">
        <f t="shared" si="4"/>
        <v>Target Achieved</v>
      </c>
    </row>
    <row r="17" spans="1:8" x14ac:dyDescent="0.3">
      <c r="A17" s="5" t="s">
        <v>39</v>
      </c>
      <c r="B17" s="5" t="s">
        <v>12</v>
      </c>
      <c r="C17" s="5" t="str">
        <f t="shared" si="0"/>
        <v>Technology</v>
      </c>
      <c r="D17" s="5" t="str">
        <f t="shared" si="1"/>
        <v>Technology</v>
      </c>
      <c r="E17" s="8">
        <v>4424.41</v>
      </c>
      <c r="F17" s="5" t="str">
        <f t="shared" si="2"/>
        <v>High</v>
      </c>
      <c r="G17" s="5" t="str">
        <f t="shared" si="3"/>
        <v>A</v>
      </c>
      <c r="H17" s="5" t="str">
        <f t="shared" si="4"/>
        <v>Below Target</v>
      </c>
    </row>
    <row r="18" spans="1:8" x14ac:dyDescent="0.3">
      <c r="A18" s="5" t="s">
        <v>13</v>
      </c>
      <c r="B18" s="5" t="s">
        <v>21</v>
      </c>
      <c r="C18" s="5" t="str">
        <f t="shared" si="0"/>
        <v>Furniture</v>
      </c>
      <c r="D18" s="5" t="str">
        <f t="shared" si="1"/>
        <v>Furniture</v>
      </c>
      <c r="E18" s="8">
        <v>3618.24</v>
      </c>
      <c r="F18" s="5" t="str">
        <f t="shared" si="2"/>
        <v>Low</v>
      </c>
      <c r="G18" s="5" t="str">
        <f t="shared" si="3"/>
        <v>B</v>
      </c>
      <c r="H18" s="5" t="str">
        <f t="shared" si="4"/>
        <v>Target Achieved</v>
      </c>
    </row>
    <row r="19" spans="1:8" x14ac:dyDescent="0.3">
      <c r="A19" s="5" t="s">
        <v>39</v>
      </c>
      <c r="B19" s="5" t="s">
        <v>21</v>
      </c>
      <c r="C19" s="5" t="str">
        <f t="shared" si="0"/>
        <v>Technology</v>
      </c>
      <c r="D19" s="5" t="str">
        <f t="shared" si="1"/>
        <v>Technology</v>
      </c>
      <c r="E19" s="8">
        <v>1860.74</v>
      </c>
      <c r="F19" s="5" t="str">
        <f t="shared" si="2"/>
        <v>Low</v>
      </c>
      <c r="G19" s="5" t="str">
        <f t="shared" si="3"/>
        <v>C</v>
      </c>
      <c r="H19" s="5" t="str">
        <f t="shared" si="4"/>
        <v>Below Target</v>
      </c>
    </row>
    <row r="20" spans="1:8" x14ac:dyDescent="0.3">
      <c r="A20" s="5" t="s">
        <v>17</v>
      </c>
      <c r="B20" s="5" t="s">
        <v>33</v>
      </c>
      <c r="C20" s="5" t="str">
        <f t="shared" si="0"/>
        <v>Furniture</v>
      </c>
      <c r="D20" s="5" t="str">
        <f t="shared" si="1"/>
        <v>Furniture</v>
      </c>
      <c r="E20" s="8">
        <v>208.01</v>
      </c>
      <c r="F20" s="5" t="str">
        <f t="shared" si="2"/>
        <v>Low</v>
      </c>
      <c r="G20" s="5" t="str">
        <f t="shared" si="3"/>
        <v>D</v>
      </c>
      <c r="H20" s="5" t="str">
        <f t="shared" si="4"/>
        <v>Below Target</v>
      </c>
    </row>
    <row r="21" spans="1:8" x14ac:dyDescent="0.3">
      <c r="A21" s="5" t="s">
        <v>13</v>
      </c>
      <c r="B21" s="5" t="s">
        <v>21</v>
      </c>
      <c r="C21" s="5" t="str">
        <f t="shared" si="0"/>
        <v>Furniture</v>
      </c>
      <c r="D21" s="5" t="str">
        <f t="shared" si="1"/>
        <v>Furniture</v>
      </c>
      <c r="E21" s="8">
        <v>3035.45</v>
      </c>
      <c r="F21" s="5" t="str">
        <f t="shared" si="2"/>
        <v>Low</v>
      </c>
      <c r="G21" s="5" t="str">
        <f t="shared" si="3"/>
        <v>B</v>
      </c>
      <c r="H21" s="5" t="str">
        <f t="shared" si="4"/>
        <v>Target Achieved</v>
      </c>
    </row>
    <row r="22" spans="1:8" x14ac:dyDescent="0.3">
      <c r="A22" s="5" t="s">
        <v>25</v>
      </c>
      <c r="B22" s="5" t="s">
        <v>21</v>
      </c>
      <c r="C22" s="5" t="str">
        <f t="shared" si="0"/>
        <v>Technology</v>
      </c>
      <c r="D22" s="5" t="str">
        <f t="shared" si="1"/>
        <v>Technology</v>
      </c>
      <c r="E22" s="8">
        <v>2915.52</v>
      </c>
      <c r="F22" s="5" t="str">
        <f t="shared" si="2"/>
        <v>Low</v>
      </c>
      <c r="G22" s="5" t="str">
        <f t="shared" si="3"/>
        <v>B</v>
      </c>
      <c r="H22" s="5" t="str">
        <f t="shared" si="4"/>
        <v>Target Achieved</v>
      </c>
    </row>
    <row r="23" spans="1:8" x14ac:dyDescent="0.3">
      <c r="A23" s="5" t="s">
        <v>43</v>
      </c>
      <c r="B23" s="5" t="s">
        <v>12</v>
      </c>
      <c r="C23" s="5" t="str">
        <f t="shared" si="0"/>
        <v>Furniture</v>
      </c>
      <c r="D23" s="5" t="str">
        <f t="shared" si="1"/>
        <v>Furniture</v>
      </c>
      <c r="E23" s="8">
        <v>4885.0600000000004</v>
      </c>
      <c r="F23" s="5" t="str">
        <f t="shared" si="2"/>
        <v>High</v>
      </c>
      <c r="G23" s="5" t="str">
        <f t="shared" si="3"/>
        <v>A</v>
      </c>
      <c r="H23" s="5" t="str">
        <f t="shared" si="4"/>
        <v>Below Target</v>
      </c>
    </row>
    <row r="24" spans="1:8" x14ac:dyDescent="0.3">
      <c r="A24" s="5" t="s">
        <v>25</v>
      </c>
      <c r="B24" s="5" t="s">
        <v>33</v>
      </c>
      <c r="C24" s="5" t="str">
        <f t="shared" si="0"/>
        <v>Technology</v>
      </c>
      <c r="D24" s="5" t="str">
        <f t="shared" si="1"/>
        <v>Technology</v>
      </c>
      <c r="E24" s="8">
        <v>267.48</v>
      </c>
      <c r="F24" s="5" t="str">
        <f t="shared" si="2"/>
        <v>Low</v>
      </c>
      <c r="G24" s="5" t="str">
        <f t="shared" si="3"/>
        <v>D</v>
      </c>
      <c r="H24" s="5" t="str">
        <f t="shared" si="4"/>
        <v>Below Target</v>
      </c>
    </row>
    <row r="25" spans="1:8" x14ac:dyDescent="0.3">
      <c r="A25" s="5" t="s">
        <v>25</v>
      </c>
      <c r="B25" s="5" t="s">
        <v>21</v>
      </c>
      <c r="C25" s="5" t="str">
        <f t="shared" si="0"/>
        <v>Technology</v>
      </c>
      <c r="D25" s="5" t="str">
        <f t="shared" si="1"/>
        <v>Technology</v>
      </c>
      <c r="E25" s="8">
        <v>3796.12</v>
      </c>
      <c r="F25" s="5" t="str">
        <f t="shared" si="2"/>
        <v>Low</v>
      </c>
      <c r="G25" s="5" t="str">
        <f t="shared" si="3"/>
        <v>B</v>
      </c>
      <c r="H25" s="5" t="str">
        <f t="shared" si="4"/>
        <v>Target Achieved</v>
      </c>
    </row>
    <row r="26" spans="1:8" x14ac:dyDescent="0.3">
      <c r="A26" s="5" t="s">
        <v>31</v>
      </c>
      <c r="B26" s="5" t="s">
        <v>33</v>
      </c>
      <c r="C26" s="5" t="str">
        <f t="shared" si="0"/>
        <v>Technology</v>
      </c>
      <c r="D26" s="5" t="str">
        <f t="shared" si="1"/>
        <v>Technology</v>
      </c>
      <c r="E26" s="8">
        <v>461.95</v>
      </c>
      <c r="F26" s="5" t="str">
        <f t="shared" si="2"/>
        <v>Low</v>
      </c>
      <c r="G26" s="5" t="str">
        <f t="shared" si="3"/>
        <v>D</v>
      </c>
      <c r="H26" s="5" t="str">
        <f t="shared" si="4"/>
        <v>Below Target</v>
      </c>
    </row>
    <row r="27" spans="1:8" x14ac:dyDescent="0.3">
      <c r="A27" s="5" t="s">
        <v>25</v>
      </c>
      <c r="B27" s="5" t="s">
        <v>12</v>
      </c>
      <c r="C27" s="5" t="str">
        <f t="shared" si="0"/>
        <v>Technology</v>
      </c>
      <c r="D27" s="5" t="str">
        <f t="shared" si="1"/>
        <v>Technology</v>
      </c>
      <c r="E27" s="8">
        <v>4068.35</v>
      </c>
      <c r="F27" s="5" t="str">
        <f t="shared" si="2"/>
        <v>High</v>
      </c>
      <c r="G27" s="5" t="str">
        <f t="shared" si="3"/>
        <v>A</v>
      </c>
      <c r="H27" s="5" t="str">
        <f t="shared" si="4"/>
        <v>Below Target</v>
      </c>
    </row>
    <row r="28" spans="1:8" x14ac:dyDescent="0.3">
      <c r="A28" s="5" t="s">
        <v>25</v>
      </c>
      <c r="B28" s="5" t="s">
        <v>21</v>
      </c>
      <c r="C28" s="5" t="str">
        <f t="shared" si="0"/>
        <v>Technology</v>
      </c>
      <c r="D28" s="5" t="str">
        <f t="shared" si="1"/>
        <v>Technology</v>
      </c>
      <c r="E28" s="8">
        <v>1300.73</v>
      </c>
      <c r="F28" s="5" t="str">
        <f t="shared" si="2"/>
        <v>Low</v>
      </c>
      <c r="G28" s="5" t="str">
        <f t="shared" si="3"/>
        <v>C</v>
      </c>
      <c r="H28" s="5" t="str">
        <f t="shared" si="4"/>
        <v>Below Target</v>
      </c>
    </row>
    <row r="29" spans="1:8" x14ac:dyDescent="0.3">
      <c r="A29" s="5" t="s">
        <v>46</v>
      </c>
      <c r="B29" s="5" t="s">
        <v>21</v>
      </c>
      <c r="C29" s="5" t="str">
        <f t="shared" si="0"/>
        <v>Technology</v>
      </c>
      <c r="D29" s="5" t="str">
        <f t="shared" si="1"/>
        <v>Technology</v>
      </c>
      <c r="E29" s="8">
        <v>4526.3100000000004</v>
      </c>
      <c r="F29" s="5" t="str">
        <f t="shared" si="2"/>
        <v>High</v>
      </c>
      <c r="G29" s="5" t="str">
        <f t="shared" si="3"/>
        <v>A</v>
      </c>
      <c r="H29" s="5" t="str">
        <f t="shared" si="4"/>
        <v>Below Target</v>
      </c>
    </row>
    <row r="30" spans="1:8" x14ac:dyDescent="0.3">
      <c r="A30" s="5" t="s">
        <v>39</v>
      </c>
      <c r="B30" s="5" t="s">
        <v>12</v>
      </c>
      <c r="C30" s="5" t="str">
        <f t="shared" si="0"/>
        <v>Technology</v>
      </c>
      <c r="D30" s="5" t="str">
        <f t="shared" si="1"/>
        <v>Technology</v>
      </c>
      <c r="E30" s="8">
        <v>3755.67</v>
      </c>
      <c r="F30" s="5" t="str">
        <f t="shared" si="2"/>
        <v>Low</v>
      </c>
      <c r="G30" s="5" t="str">
        <f t="shared" si="3"/>
        <v>B</v>
      </c>
      <c r="H30" s="5" t="str">
        <f t="shared" si="4"/>
        <v>Target Achieved</v>
      </c>
    </row>
    <row r="31" spans="1:8" x14ac:dyDescent="0.3">
      <c r="A31" s="5" t="s">
        <v>31</v>
      </c>
      <c r="B31" s="5" t="s">
        <v>33</v>
      </c>
      <c r="C31" s="5" t="str">
        <f t="shared" si="0"/>
        <v>Technology</v>
      </c>
      <c r="D31" s="5" t="str">
        <f t="shared" si="1"/>
        <v>Technology</v>
      </c>
      <c r="E31" s="8">
        <v>1791.85</v>
      </c>
      <c r="F31" s="5" t="str">
        <f t="shared" si="2"/>
        <v>Low</v>
      </c>
      <c r="G31" s="5" t="str">
        <f t="shared" si="3"/>
        <v>C</v>
      </c>
      <c r="H31" s="5" t="str">
        <f t="shared" si="4"/>
        <v>Below Target</v>
      </c>
    </row>
  </sheetData>
  <mergeCells count="1">
    <mergeCell ref="J1:K1"/>
  </mergeCells>
  <conditionalFormatting sqref="E2:E31">
    <cfRule type="cellIs" dxfId="10" priority="11" operator="greaterThan">
      <formula>2504.87</formula>
    </cfRule>
  </conditionalFormatting>
  <conditionalFormatting sqref="F2:F31">
    <cfRule type="cellIs" dxfId="9" priority="10" operator="equal">
      <formula>"HIGH"</formula>
    </cfRule>
  </conditionalFormatting>
  <conditionalFormatting sqref="G2:G31">
    <cfRule type="cellIs" dxfId="8" priority="6" operator="equal">
      <formula>"D"</formula>
    </cfRule>
    <cfRule type="cellIs" dxfId="7" priority="7" operator="equal">
      <formula>"C"</formula>
    </cfRule>
    <cfRule type="cellIs" dxfId="6" priority="8" operator="equal">
      <formula>"B"</formula>
    </cfRule>
    <cfRule type="cellIs" dxfId="5" priority="9" operator="equal">
      <formula>"A"</formula>
    </cfRule>
  </conditionalFormatting>
  <conditionalFormatting sqref="H2:H31">
    <cfRule type="cellIs" dxfId="4" priority="5" operator="equal">
      <formula>"Target Achieved"</formula>
    </cfRule>
  </conditionalFormatting>
  <conditionalFormatting sqref="J3:J7">
    <cfRule type="containsText" dxfId="3" priority="4" operator="containsText" text="Light Green">
      <formula>NOT(ISERROR(SEARCH("Light Green",J3)))</formula>
    </cfRule>
  </conditionalFormatting>
  <conditionalFormatting sqref="J4">
    <cfRule type="containsText" dxfId="2" priority="3" operator="containsText" text="Light Yellow">
      <formula>NOT(ISERROR(SEARCH("Light Yellow",J4)))</formula>
    </cfRule>
  </conditionalFormatting>
  <conditionalFormatting sqref="J5">
    <cfRule type="containsText" dxfId="1" priority="2" operator="containsText" text="Light Blue">
      <formula>NOT(ISERROR(SEARCH("Light Blue",J5)))</formula>
    </cfRule>
  </conditionalFormatting>
  <conditionalFormatting sqref="J6">
    <cfRule type="containsText" dxfId="0" priority="1" operator="containsText" text="Light Red">
      <formula>NOT(ISERROR(SEARCH("Light Red",J6)))</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6C93-435A-4F80-B622-E748CE974D65}">
  <dimension ref="A1:B48"/>
  <sheetViews>
    <sheetView topLeftCell="B1" zoomScale="62" workbookViewId="0">
      <selection activeCell="AN79" sqref="AN79"/>
    </sheetView>
  </sheetViews>
  <sheetFormatPr defaultRowHeight="14.4" x14ac:dyDescent="0.3"/>
  <cols>
    <col min="1" max="1" width="21.21875" bestFit="1" customWidth="1"/>
    <col min="2" max="2" width="19.77734375" bestFit="1" customWidth="1"/>
    <col min="3" max="3" width="12.109375" customWidth="1"/>
  </cols>
  <sheetData>
    <row r="1" spans="1:2" x14ac:dyDescent="0.3">
      <c r="A1" s="34" t="s">
        <v>2</v>
      </c>
      <c r="B1" t="s">
        <v>393</v>
      </c>
    </row>
    <row r="2" spans="1:2" x14ac:dyDescent="0.3">
      <c r="A2" t="s">
        <v>30</v>
      </c>
      <c r="B2" s="3">
        <v>210435.96</v>
      </c>
    </row>
    <row r="3" spans="1:2" x14ac:dyDescent="0.3">
      <c r="A3" t="s">
        <v>20</v>
      </c>
      <c r="B3" s="3">
        <v>207483.74</v>
      </c>
    </row>
    <row r="4" spans="1:2" x14ac:dyDescent="0.3">
      <c r="A4" t="s">
        <v>16</v>
      </c>
      <c r="B4" s="3">
        <v>193876.81999999995</v>
      </c>
    </row>
    <row r="5" spans="1:2" x14ac:dyDescent="0.3">
      <c r="A5" t="s">
        <v>11</v>
      </c>
      <c r="B5" s="3">
        <v>182504.74000000005</v>
      </c>
    </row>
    <row r="6" spans="1:2" x14ac:dyDescent="0.3">
      <c r="A6" t="s">
        <v>392</v>
      </c>
      <c r="B6" s="3">
        <v>794301.26</v>
      </c>
    </row>
    <row r="13" spans="1:2" x14ac:dyDescent="0.3">
      <c r="A13" s="34" t="s">
        <v>3</v>
      </c>
      <c r="B13" t="s">
        <v>393</v>
      </c>
    </row>
    <row r="14" spans="1:2" x14ac:dyDescent="0.3">
      <c r="A14" t="s">
        <v>21</v>
      </c>
      <c r="B14" s="3">
        <v>276539.28999999998</v>
      </c>
    </row>
    <row r="15" spans="1:2" x14ac:dyDescent="0.3">
      <c r="A15" t="s">
        <v>12</v>
      </c>
      <c r="B15" s="3">
        <v>267131.33999999997</v>
      </c>
    </row>
    <row r="16" spans="1:2" x14ac:dyDescent="0.3">
      <c r="A16" t="s">
        <v>33</v>
      </c>
      <c r="B16" s="3">
        <v>250630.63</v>
      </c>
    </row>
    <row r="17" spans="1:2" x14ac:dyDescent="0.3">
      <c r="A17" t="s">
        <v>392</v>
      </c>
      <c r="B17" s="3">
        <v>794301.26</v>
      </c>
    </row>
    <row r="22" spans="1:2" x14ac:dyDescent="0.3">
      <c r="A22" s="34" t="s">
        <v>346</v>
      </c>
      <c r="B22" t="s">
        <v>394</v>
      </c>
    </row>
    <row r="23" spans="1:2" x14ac:dyDescent="0.3">
      <c r="A23" t="s">
        <v>43</v>
      </c>
      <c r="B23" s="2">
        <v>285</v>
      </c>
    </row>
    <row r="24" spans="1:2" x14ac:dyDescent="0.3">
      <c r="A24" t="s">
        <v>31</v>
      </c>
      <c r="B24" s="2">
        <v>236</v>
      </c>
    </row>
    <row r="25" spans="1:2" x14ac:dyDescent="0.3">
      <c r="A25" t="s">
        <v>13</v>
      </c>
      <c r="B25" s="2">
        <v>206</v>
      </c>
    </row>
    <row r="26" spans="1:2" x14ac:dyDescent="0.3">
      <c r="A26" t="s">
        <v>25</v>
      </c>
      <c r="B26" s="2">
        <v>204</v>
      </c>
    </row>
    <row r="27" spans="1:2" x14ac:dyDescent="0.3">
      <c r="A27" t="s">
        <v>17</v>
      </c>
      <c r="B27" s="2">
        <v>202</v>
      </c>
    </row>
    <row r="28" spans="1:2" x14ac:dyDescent="0.3">
      <c r="A28" t="s">
        <v>46</v>
      </c>
      <c r="B28" s="2">
        <v>201</v>
      </c>
    </row>
    <row r="29" spans="1:2" x14ac:dyDescent="0.3">
      <c r="A29" t="s">
        <v>39</v>
      </c>
      <c r="B29" s="2">
        <v>185</v>
      </c>
    </row>
    <row r="30" spans="1:2" x14ac:dyDescent="0.3">
      <c r="A30" t="s">
        <v>34</v>
      </c>
      <c r="B30" s="2">
        <v>130</v>
      </c>
    </row>
    <row r="31" spans="1:2" x14ac:dyDescent="0.3">
      <c r="A31" t="s">
        <v>392</v>
      </c>
      <c r="B31" s="2">
        <v>1649</v>
      </c>
    </row>
    <row r="37" spans="1:2" x14ac:dyDescent="0.3">
      <c r="A37" s="34" t="s">
        <v>4</v>
      </c>
      <c r="B37" t="s">
        <v>395</v>
      </c>
    </row>
    <row r="38" spans="1:2" x14ac:dyDescent="0.3">
      <c r="A38" t="s">
        <v>26</v>
      </c>
      <c r="B38" s="3">
        <v>12480.530000000004</v>
      </c>
    </row>
    <row r="39" spans="1:2" x14ac:dyDescent="0.3">
      <c r="A39" t="s">
        <v>50</v>
      </c>
      <c r="B39" s="3">
        <v>10333.350000000002</v>
      </c>
    </row>
    <row r="40" spans="1:2" x14ac:dyDescent="0.3">
      <c r="A40" t="s">
        <v>22</v>
      </c>
      <c r="B40" s="3">
        <v>10256.91</v>
      </c>
    </row>
    <row r="41" spans="1:2" x14ac:dyDescent="0.3">
      <c r="A41" t="s">
        <v>44</v>
      </c>
      <c r="B41" s="3">
        <v>9387.5299999999988</v>
      </c>
    </row>
    <row r="42" spans="1:2" x14ac:dyDescent="0.3">
      <c r="A42" t="s">
        <v>75</v>
      </c>
      <c r="B42" s="3">
        <v>9140.2000000000007</v>
      </c>
    </row>
    <row r="43" spans="1:2" x14ac:dyDescent="0.3">
      <c r="A43" t="s">
        <v>37</v>
      </c>
      <c r="B43" s="3">
        <v>8560.5300000000007</v>
      </c>
    </row>
    <row r="44" spans="1:2" x14ac:dyDescent="0.3">
      <c r="A44" t="s">
        <v>35</v>
      </c>
      <c r="B44" s="3">
        <v>7888.08</v>
      </c>
    </row>
    <row r="45" spans="1:2" x14ac:dyDescent="0.3">
      <c r="A45" t="s">
        <v>14</v>
      </c>
      <c r="B45" s="3">
        <v>7204.9300000000012</v>
      </c>
    </row>
    <row r="46" spans="1:2" x14ac:dyDescent="0.3">
      <c r="A46" t="s">
        <v>90</v>
      </c>
      <c r="B46" s="3">
        <v>6857.78</v>
      </c>
    </row>
    <row r="47" spans="1:2" x14ac:dyDescent="0.3">
      <c r="A47" t="s">
        <v>48</v>
      </c>
      <c r="B47" s="3">
        <v>6472.7100000000009</v>
      </c>
    </row>
    <row r="48" spans="1:2" x14ac:dyDescent="0.3">
      <c r="A48" t="s">
        <v>392</v>
      </c>
      <c r="B48" s="3">
        <v>88582.550000000017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1CDAC-0C45-4048-A020-A1B235BC4E32}">
  <dimension ref="A1:H23"/>
  <sheetViews>
    <sheetView zoomScale="63" workbookViewId="0">
      <selection activeCell="K11" sqref="K11"/>
    </sheetView>
  </sheetViews>
  <sheetFormatPr defaultRowHeight="14.4" x14ac:dyDescent="0.3"/>
  <cols>
    <col min="1" max="1" width="32.77734375" customWidth="1"/>
  </cols>
  <sheetData>
    <row r="1" spans="1:8" ht="22.2" x14ac:dyDescent="0.45">
      <c r="A1" s="87" t="s">
        <v>396</v>
      </c>
      <c r="B1" s="87"/>
      <c r="C1" s="87"/>
      <c r="D1" s="87"/>
      <c r="E1" s="87"/>
      <c r="F1" s="35"/>
      <c r="G1" s="35"/>
      <c r="H1" s="35"/>
    </row>
    <row r="3" spans="1:8" ht="16.2" x14ac:dyDescent="0.35">
      <c r="A3" s="88" t="s">
        <v>397</v>
      </c>
      <c r="B3" s="88"/>
      <c r="C3" s="88"/>
      <c r="D3" s="88"/>
      <c r="E3" s="88"/>
    </row>
    <row r="4" spans="1:8" ht="18" x14ac:dyDescent="0.35">
      <c r="A4" s="83" t="s">
        <v>415</v>
      </c>
      <c r="B4" s="83"/>
      <c r="C4" s="83"/>
      <c r="D4" s="83"/>
      <c r="E4" s="83"/>
    </row>
    <row r="5" spans="1:8" x14ac:dyDescent="0.3">
      <c r="A5" s="82" t="s">
        <v>398</v>
      </c>
      <c r="B5" s="82"/>
      <c r="C5" s="82"/>
      <c r="D5" s="82"/>
      <c r="E5" s="82"/>
    </row>
    <row r="6" spans="1:8" x14ac:dyDescent="0.3">
      <c r="A6" s="82" t="s">
        <v>399</v>
      </c>
      <c r="B6" s="82"/>
      <c r="C6" s="82"/>
      <c r="D6" s="82"/>
      <c r="E6" s="82"/>
    </row>
    <row r="7" spans="1:8" x14ac:dyDescent="0.3">
      <c r="A7" s="82" t="s">
        <v>400</v>
      </c>
      <c r="B7" s="82"/>
      <c r="C7" s="82"/>
      <c r="D7" s="82"/>
      <c r="E7" s="82"/>
    </row>
    <row r="8" spans="1:8" x14ac:dyDescent="0.3">
      <c r="A8" s="82" t="s">
        <v>401</v>
      </c>
      <c r="B8" s="82"/>
      <c r="C8" s="82"/>
      <c r="D8" s="82"/>
      <c r="E8" s="82"/>
    </row>
    <row r="9" spans="1:8" x14ac:dyDescent="0.3">
      <c r="A9" s="82" t="s">
        <v>402</v>
      </c>
      <c r="B9" s="82"/>
      <c r="C9" s="82"/>
      <c r="D9" s="82"/>
      <c r="E9" s="82"/>
    </row>
    <row r="10" spans="1:8" x14ac:dyDescent="0.3">
      <c r="A10" s="82" t="s">
        <v>403</v>
      </c>
      <c r="B10" s="82"/>
      <c r="C10" s="82"/>
      <c r="D10" s="82"/>
      <c r="E10" s="82"/>
    </row>
    <row r="11" spans="1:8" x14ac:dyDescent="0.3">
      <c r="A11" s="82" t="s">
        <v>404</v>
      </c>
      <c r="B11" s="82"/>
      <c r="C11" s="82"/>
      <c r="D11" s="82"/>
      <c r="E11" s="82"/>
    </row>
    <row r="12" spans="1:8" x14ac:dyDescent="0.3">
      <c r="A12" s="82" t="s">
        <v>405</v>
      </c>
      <c r="B12" s="82"/>
      <c r="C12" s="82"/>
      <c r="D12" s="82"/>
      <c r="E12" s="82"/>
    </row>
    <row r="13" spans="1:8" x14ac:dyDescent="0.3">
      <c r="A13" s="82" t="s">
        <v>406</v>
      </c>
      <c r="B13" s="82"/>
      <c r="C13" s="82"/>
      <c r="D13" s="82"/>
      <c r="E13" s="82"/>
    </row>
    <row r="14" spans="1:8" x14ac:dyDescent="0.3">
      <c r="A14" s="82" t="s">
        <v>407</v>
      </c>
      <c r="B14" s="82"/>
      <c r="C14" s="82"/>
      <c r="D14" s="82"/>
      <c r="E14" s="82"/>
    </row>
    <row r="15" spans="1:8" x14ac:dyDescent="0.3">
      <c r="A15" s="82" t="s">
        <v>408</v>
      </c>
      <c r="B15" s="82"/>
      <c r="C15" s="82"/>
      <c r="D15" s="82"/>
      <c r="E15" s="82"/>
    </row>
    <row r="18" spans="1:5" ht="16.2" x14ac:dyDescent="0.35">
      <c r="A18" s="81" t="s">
        <v>414</v>
      </c>
      <c r="B18" s="82"/>
      <c r="C18" s="82"/>
      <c r="D18" s="82"/>
      <c r="E18" s="82"/>
    </row>
    <row r="19" spans="1:5" x14ac:dyDescent="0.3">
      <c r="A19" s="84" t="s">
        <v>409</v>
      </c>
      <c r="B19" s="85"/>
      <c r="C19" s="85"/>
      <c r="D19" s="85"/>
      <c r="E19" s="86"/>
    </row>
    <row r="20" spans="1:5" x14ac:dyDescent="0.3">
      <c r="A20" s="84" t="s">
        <v>410</v>
      </c>
      <c r="B20" s="85"/>
      <c r="C20" s="85"/>
      <c r="D20" s="85"/>
      <c r="E20" s="86"/>
    </row>
    <row r="21" spans="1:5" x14ac:dyDescent="0.3">
      <c r="A21" s="84" t="s">
        <v>411</v>
      </c>
      <c r="B21" s="85"/>
      <c r="C21" s="85"/>
      <c r="D21" s="85"/>
      <c r="E21" s="86"/>
    </row>
    <row r="22" spans="1:5" x14ac:dyDescent="0.3">
      <c r="A22" s="84" t="s">
        <v>412</v>
      </c>
      <c r="B22" s="85"/>
      <c r="C22" s="85"/>
      <c r="D22" s="85"/>
      <c r="E22" s="86"/>
    </row>
    <row r="23" spans="1:5" x14ac:dyDescent="0.3">
      <c r="A23" s="84" t="s">
        <v>413</v>
      </c>
      <c r="B23" s="85"/>
      <c r="C23" s="85"/>
      <c r="D23" s="85"/>
      <c r="E23" s="86"/>
    </row>
  </sheetData>
  <mergeCells count="20">
    <mergeCell ref="A1:E1"/>
    <mergeCell ref="A8:E8"/>
    <mergeCell ref="A9:E9"/>
    <mergeCell ref="A10:E10"/>
    <mergeCell ref="A11:E11"/>
    <mergeCell ref="A3:E3"/>
    <mergeCell ref="A19:E19"/>
    <mergeCell ref="A20:E20"/>
    <mergeCell ref="A21:E21"/>
    <mergeCell ref="A22:E22"/>
    <mergeCell ref="A23:E23"/>
    <mergeCell ref="A18:E18"/>
    <mergeCell ref="A4:E4"/>
    <mergeCell ref="A5:E5"/>
    <mergeCell ref="A6:E6"/>
    <mergeCell ref="A7:E7"/>
    <mergeCell ref="A14:E14"/>
    <mergeCell ref="A15:E15"/>
    <mergeCell ref="A12:E12"/>
    <mergeCell ref="A13:E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F880-0896-412E-8832-37DE59E216A2}">
  <dimension ref="A1:AL93"/>
  <sheetViews>
    <sheetView showGridLines="0" tabSelected="1" zoomScale="30" zoomScaleNormal="35" workbookViewId="0">
      <selection activeCell="BO41" sqref="BO41"/>
    </sheetView>
  </sheetViews>
  <sheetFormatPr defaultRowHeight="14.4" x14ac:dyDescent="0.3"/>
  <sheetData>
    <row r="1" spans="1:38" x14ac:dyDescent="0.3">
      <c r="A1" s="50" t="s">
        <v>428</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row>
    <row r="2" spans="1:38" x14ac:dyDescent="0.3">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row>
    <row r="3" spans="1:38" x14ac:dyDescent="0.3">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row>
    <row r="4" spans="1:38" x14ac:dyDescent="0.3">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row>
    <row r="5" spans="1:38" x14ac:dyDescent="0.3">
      <c r="A5" s="50"/>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row>
    <row r="6" spans="1:38" x14ac:dyDescent="0.3">
      <c r="A6" s="50"/>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row>
    <row r="7" spans="1:38" x14ac:dyDescent="0.3">
      <c r="A7" s="36"/>
      <c r="B7" s="36"/>
      <c r="AK7" s="36"/>
      <c r="AL7" s="36"/>
    </row>
    <row r="8" spans="1:38" ht="15" thickBot="1" x14ac:dyDescent="0.35">
      <c r="A8" s="36"/>
      <c r="B8" s="36"/>
      <c r="AK8" s="36"/>
      <c r="AL8" s="36"/>
    </row>
    <row r="9" spans="1:38" x14ac:dyDescent="0.3">
      <c r="A9" s="36"/>
      <c r="B9" s="36"/>
      <c r="D9" s="63" t="s">
        <v>416</v>
      </c>
      <c r="E9" s="57"/>
      <c r="F9" s="57"/>
      <c r="G9" s="58"/>
      <c r="I9" s="63" t="s">
        <v>417</v>
      </c>
      <c r="J9" s="70"/>
      <c r="K9" s="70"/>
      <c r="L9" s="71"/>
      <c r="N9" s="63" t="s">
        <v>418</v>
      </c>
      <c r="O9" s="57"/>
      <c r="P9" s="57"/>
      <c r="Q9" s="58"/>
      <c r="S9" s="51" t="s">
        <v>419</v>
      </c>
      <c r="T9" s="57"/>
      <c r="U9" s="57"/>
      <c r="V9" s="58"/>
      <c r="X9" s="51" t="s">
        <v>420</v>
      </c>
      <c r="Y9" s="57"/>
      <c r="Z9" s="57"/>
      <c r="AA9" s="58"/>
      <c r="AK9" s="36"/>
      <c r="AL9" s="36"/>
    </row>
    <row r="10" spans="1:38" x14ac:dyDescent="0.3">
      <c r="A10" s="36"/>
      <c r="B10" s="36"/>
      <c r="D10" s="59"/>
      <c r="E10" s="60"/>
      <c r="F10" s="60"/>
      <c r="G10" s="61"/>
      <c r="I10" s="72"/>
      <c r="J10" s="73"/>
      <c r="K10" s="73"/>
      <c r="L10" s="74"/>
      <c r="N10" s="59"/>
      <c r="O10" s="60"/>
      <c r="P10" s="60"/>
      <c r="Q10" s="61"/>
      <c r="S10" s="59"/>
      <c r="T10" s="60"/>
      <c r="U10" s="60"/>
      <c r="V10" s="61"/>
      <c r="X10" s="59"/>
      <c r="Y10" s="60"/>
      <c r="Z10" s="60"/>
      <c r="AA10" s="61"/>
      <c r="AK10" s="36"/>
      <c r="AL10" s="36"/>
    </row>
    <row r="11" spans="1:38" x14ac:dyDescent="0.3">
      <c r="A11" s="36"/>
      <c r="B11" s="36"/>
      <c r="D11" s="64" t="str">
        <f>"₹ "&amp;TEXT(GETPIVOTDATA("Sales",Pivot_table!$A$13)/100000,"0.00")&amp;" L"</f>
        <v>₹ 7.94 L</v>
      </c>
      <c r="E11" s="65"/>
      <c r="F11" s="65"/>
      <c r="G11" s="66"/>
      <c r="I11" s="37" t="str">
        <f>"₹ "&amp;TEXT(SUM(Sales_Data!J:J)/100000,"0.00")&amp;" L"</f>
        <v>₹ 1.33 L</v>
      </c>
      <c r="J11" s="75"/>
      <c r="K11" s="75"/>
      <c r="L11" s="76"/>
      <c r="N11" s="37">
        <f>SUM(Sales_Data!G:G)</f>
        <v>1649</v>
      </c>
      <c r="O11" s="38"/>
      <c r="P11" s="38"/>
      <c r="Q11" s="39"/>
      <c r="S11" s="62">
        <f>AVERAGE(Sales_Data!I:I)</f>
        <v>9.450000000000007E-2</v>
      </c>
      <c r="T11" s="38"/>
      <c r="U11" s="38"/>
      <c r="V11" s="39"/>
      <c r="X11" s="40" t="str">
        <f>Pivot_table!A2</f>
        <v>South</v>
      </c>
      <c r="Y11" s="38"/>
      <c r="Z11" s="38"/>
      <c r="AA11" s="39"/>
      <c r="AK11" s="36"/>
      <c r="AL11" s="36"/>
    </row>
    <row r="12" spans="1:38" x14ac:dyDescent="0.3">
      <c r="A12" s="36"/>
      <c r="B12" s="36"/>
      <c r="D12" s="64"/>
      <c r="E12" s="65"/>
      <c r="F12" s="65"/>
      <c r="G12" s="66"/>
      <c r="I12" s="37"/>
      <c r="J12" s="75"/>
      <c r="K12" s="75"/>
      <c r="L12" s="76"/>
      <c r="N12" s="40"/>
      <c r="O12" s="38"/>
      <c r="P12" s="38"/>
      <c r="Q12" s="39"/>
      <c r="S12" s="40"/>
      <c r="T12" s="38"/>
      <c r="U12" s="38"/>
      <c r="V12" s="39"/>
      <c r="X12" s="40"/>
      <c r="Y12" s="38"/>
      <c r="Z12" s="38"/>
      <c r="AA12" s="39"/>
      <c r="AK12" s="36"/>
      <c r="AL12" s="36"/>
    </row>
    <row r="13" spans="1:38" ht="15" thickBot="1" x14ac:dyDescent="0.35">
      <c r="A13" s="36"/>
      <c r="B13" s="36"/>
      <c r="D13" s="67"/>
      <c r="E13" s="68"/>
      <c r="F13" s="68"/>
      <c r="G13" s="69"/>
      <c r="I13" s="77"/>
      <c r="J13" s="78"/>
      <c r="K13" s="78"/>
      <c r="L13" s="79"/>
      <c r="N13" s="41"/>
      <c r="O13" s="42"/>
      <c r="P13" s="42"/>
      <c r="Q13" s="43"/>
      <c r="S13" s="41"/>
      <c r="T13" s="42"/>
      <c r="U13" s="42"/>
      <c r="V13" s="43"/>
      <c r="X13" s="41"/>
      <c r="Y13" s="42"/>
      <c r="Z13" s="42"/>
      <c r="AA13" s="43"/>
      <c r="AK13" s="36"/>
      <c r="AL13" s="36"/>
    </row>
    <row r="14" spans="1:38" x14ac:dyDescent="0.3">
      <c r="A14" s="36"/>
      <c r="B14" s="36"/>
      <c r="AK14" s="36"/>
      <c r="AL14" s="36"/>
    </row>
    <row r="15" spans="1:38" x14ac:dyDescent="0.3">
      <c r="A15" s="36"/>
      <c r="B15" s="36"/>
      <c r="AK15" s="36"/>
      <c r="AL15" s="36"/>
    </row>
    <row r="16" spans="1:38" x14ac:dyDescent="0.3">
      <c r="A16" s="36"/>
      <c r="B16" s="36"/>
      <c r="AK16" s="36"/>
      <c r="AL16" s="36"/>
    </row>
    <row r="17" spans="1:38" x14ac:dyDescent="0.3">
      <c r="A17" s="36"/>
      <c r="B17" s="36"/>
      <c r="AK17" s="36"/>
      <c r="AL17" s="36"/>
    </row>
    <row r="18" spans="1:38" x14ac:dyDescent="0.3">
      <c r="A18" s="36"/>
      <c r="B18" s="36"/>
      <c r="AK18" s="36"/>
      <c r="AL18" s="36"/>
    </row>
    <row r="19" spans="1:38" x14ac:dyDescent="0.3">
      <c r="A19" s="36"/>
      <c r="B19" s="36"/>
      <c r="AK19" s="36"/>
      <c r="AL19" s="36"/>
    </row>
    <row r="20" spans="1:38" x14ac:dyDescent="0.3">
      <c r="A20" s="36"/>
      <c r="B20" s="36"/>
      <c r="AK20" s="36"/>
      <c r="AL20" s="36"/>
    </row>
    <row r="21" spans="1:38" x14ac:dyDescent="0.3">
      <c r="A21" s="36"/>
      <c r="B21" s="36"/>
      <c r="AK21" s="36"/>
      <c r="AL21" s="36"/>
    </row>
    <row r="22" spans="1:38" x14ac:dyDescent="0.3">
      <c r="A22" s="36"/>
      <c r="B22" s="36"/>
      <c r="AK22" s="36"/>
      <c r="AL22" s="36"/>
    </row>
    <row r="23" spans="1:38" x14ac:dyDescent="0.3">
      <c r="A23" s="36"/>
      <c r="B23" s="36"/>
      <c r="AK23" s="36"/>
      <c r="AL23" s="36"/>
    </row>
    <row r="24" spans="1:38" x14ac:dyDescent="0.3">
      <c r="A24" s="36"/>
      <c r="B24" s="36"/>
      <c r="AK24" s="36"/>
      <c r="AL24" s="36"/>
    </row>
    <row r="25" spans="1:38" x14ac:dyDescent="0.3">
      <c r="A25" s="36"/>
      <c r="B25" s="36"/>
      <c r="AK25" s="36"/>
      <c r="AL25" s="36"/>
    </row>
    <row r="26" spans="1:38" x14ac:dyDescent="0.3">
      <c r="A26" s="36"/>
      <c r="B26" s="36"/>
      <c r="AK26" s="36"/>
      <c r="AL26" s="36"/>
    </row>
    <row r="27" spans="1:38" x14ac:dyDescent="0.3">
      <c r="A27" s="36"/>
      <c r="B27" s="36"/>
      <c r="AK27" s="36"/>
      <c r="AL27" s="36"/>
    </row>
    <row r="28" spans="1:38" x14ac:dyDescent="0.3">
      <c r="A28" s="36"/>
      <c r="B28" s="36"/>
      <c r="AK28" s="36"/>
      <c r="AL28" s="36"/>
    </row>
    <row r="29" spans="1:38" x14ac:dyDescent="0.3">
      <c r="A29" s="36"/>
      <c r="B29" s="36"/>
      <c r="AK29" s="36"/>
      <c r="AL29" s="36"/>
    </row>
    <row r="30" spans="1:38" x14ac:dyDescent="0.3">
      <c r="A30" s="36"/>
      <c r="B30" s="36"/>
      <c r="AK30" s="36"/>
      <c r="AL30" s="36"/>
    </row>
    <row r="31" spans="1:38" x14ac:dyDescent="0.3">
      <c r="A31" s="36"/>
      <c r="B31" s="36"/>
      <c r="AK31" s="36"/>
      <c r="AL31" s="36"/>
    </row>
    <row r="32" spans="1:38" x14ac:dyDescent="0.3">
      <c r="A32" s="36"/>
      <c r="B32" s="36"/>
      <c r="AK32" s="36"/>
      <c r="AL32" s="36"/>
    </row>
    <row r="33" spans="1:38" x14ac:dyDescent="0.3">
      <c r="A33" s="36"/>
      <c r="B33" s="36"/>
      <c r="AK33" s="36"/>
      <c r="AL33" s="36"/>
    </row>
    <row r="34" spans="1:38" x14ac:dyDescent="0.3">
      <c r="A34" s="36"/>
      <c r="B34" s="36"/>
      <c r="AK34" s="36"/>
      <c r="AL34" s="36"/>
    </row>
    <row r="35" spans="1:38" x14ac:dyDescent="0.3">
      <c r="A35" s="36"/>
      <c r="B35" s="36"/>
      <c r="AK35" s="36"/>
      <c r="AL35" s="36"/>
    </row>
    <row r="36" spans="1:38" x14ac:dyDescent="0.3">
      <c r="A36" s="36"/>
      <c r="B36" s="36"/>
      <c r="AK36" s="36"/>
      <c r="AL36" s="36"/>
    </row>
    <row r="37" spans="1:38" x14ac:dyDescent="0.3">
      <c r="A37" s="36"/>
      <c r="B37" s="36"/>
      <c r="AK37" s="36"/>
      <c r="AL37" s="36"/>
    </row>
    <row r="38" spans="1:38" x14ac:dyDescent="0.3">
      <c r="A38" s="36"/>
      <c r="B38" s="36"/>
      <c r="AK38" s="36"/>
      <c r="AL38" s="36"/>
    </row>
    <row r="39" spans="1:38" x14ac:dyDescent="0.3">
      <c r="A39" s="36"/>
      <c r="B39" s="36"/>
      <c r="AK39" s="36"/>
      <c r="AL39" s="36"/>
    </row>
    <row r="40" spans="1:38" x14ac:dyDescent="0.3">
      <c r="A40" s="36"/>
      <c r="B40" s="36"/>
      <c r="AK40" s="36"/>
      <c r="AL40" s="36"/>
    </row>
    <row r="41" spans="1:38" x14ac:dyDescent="0.3">
      <c r="A41" s="36"/>
      <c r="B41" s="36"/>
      <c r="AK41" s="36"/>
      <c r="AL41" s="36"/>
    </row>
    <row r="42" spans="1:38" x14ac:dyDescent="0.3">
      <c r="A42" s="36"/>
      <c r="B42" s="36"/>
      <c r="AK42" s="36"/>
      <c r="AL42" s="36"/>
    </row>
    <row r="43" spans="1:38" x14ac:dyDescent="0.3">
      <c r="A43" s="36"/>
      <c r="B43" s="36"/>
      <c r="AK43" s="36"/>
      <c r="AL43" s="36"/>
    </row>
    <row r="44" spans="1:38" x14ac:dyDescent="0.3">
      <c r="A44" s="36"/>
      <c r="B44" s="36"/>
      <c r="AK44" s="36"/>
      <c r="AL44" s="36"/>
    </row>
    <row r="45" spans="1:38" x14ac:dyDescent="0.3">
      <c r="A45" s="36"/>
      <c r="B45" s="36"/>
      <c r="AK45" s="36"/>
      <c r="AL45" s="36"/>
    </row>
    <row r="46" spans="1:38" x14ac:dyDescent="0.3">
      <c r="A46" s="36"/>
      <c r="B46" s="36"/>
      <c r="AK46" s="36"/>
      <c r="AL46" s="36"/>
    </row>
    <row r="47" spans="1:38" x14ac:dyDescent="0.3">
      <c r="A47" s="36"/>
      <c r="B47" s="36"/>
      <c r="AK47" s="36"/>
      <c r="AL47" s="36"/>
    </row>
    <row r="48" spans="1:38" x14ac:dyDescent="0.3">
      <c r="A48" s="36"/>
      <c r="B48" s="36"/>
      <c r="AK48" s="36"/>
      <c r="AL48" s="36"/>
    </row>
    <row r="49" spans="1:38" x14ac:dyDescent="0.3">
      <c r="A49" s="36"/>
      <c r="B49" s="36"/>
      <c r="AK49" s="36"/>
      <c r="AL49" s="36"/>
    </row>
    <row r="50" spans="1:38" x14ac:dyDescent="0.3">
      <c r="A50" s="36"/>
      <c r="B50" s="36"/>
      <c r="AK50" s="36"/>
      <c r="AL50" s="36"/>
    </row>
    <row r="51" spans="1:38" x14ac:dyDescent="0.3">
      <c r="A51" s="36"/>
      <c r="B51" s="36"/>
      <c r="AK51" s="36"/>
      <c r="AL51" s="36"/>
    </row>
    <row r="52" spans="1:38" x14ac:dyDescent="0.3">
      <c r="A52" s="36"/>
      <c r="B52" s="36"/>
      <c r="AK52" s="36"/>
      <c r="AL52" s="36"/>
    </row>
    <row r="53" spans="1:38" x14ac:dyDescent="0.3">
      <c r="A53" s="36"/>
      <c r="B53" s="36"/>
      <c r="AK53" s="36"/>
      <c r="AL53" s="36"/>
    </row>
    <row r="54" spans="1:38" x14ac:dyDescent="0.3">
      <c r="A54" s="36"/>
      <c r="B54" s="36"/>
      <c r="AK54" s="36"/>
      <c r="AL54" s="36"/>
    </row>
    <row r="55" spans="1:38" x14ac:dyDescent="0.3">
      <c r="A55" s="36"/>
      <c r="B55" s="36"/>
      <c r="AK55" s="36"/>
      <c r="AL55" s="36"/>
    </row>
    <row r="56" spans="1:38" x14ac:dyDescent="0.3">
      <c r="A56" s="36"/>
      <c r="B56" s="36"/>
      <c r="AK56" s="36"/>
      <c r="AL56" s="36"/>
    </row>
    <row r="57" spans="1:38" x14ac:dyDescent="0.3">
      <c r="A57" s="36"/>
      <c r="B57" s="36"/>
      <c r="AK57" s="36"/>
      <c r="AL57" s="36"/>
    </row>
    <row r="58" spans="1:38" x14ac:dyDescent="0.3">
      <c r="A58" s="36"/>
      <c r="B58" s="36"/>
      <c r="AK58" s="36"/>
      <c r="AL58" s="36"/>
    </row>
    <row r="59" spans="1:38" x14ac:dyDescent="0.3">
      <c r="A59" s="36"/>
      <c r="B59" s="36"/>
      <c r="AK59" s="36"/>
      <c r="AL59" s="36"/>
    </row>
    <row r="60" spans="1:38" x14ac:dyDescent="0.3">
      <c r="A60" s="36"/>
      <c r="B60" s="36"/>
      <c r="AK60" s="36"/>
      <c r="AL60" s="36"/>
    </row>
    <row r="61" spans="1:38" x14ac:dyDescent="0.3">
      <c r="A61" s="36"/>
      <c r="B61" s="36"/>
      <c r="AK61" s="36"/>
      <c r="AL61" s="36"/>
    </row>
    <row r="62" spans="1:38" x14ac:dyDescent="0.3">
      <c r="A62" s="36"/>
      <c r="B62" s="36"/>
      <c r="AK62" s="36"/>
      <c r="AL62" s="36"/>
    </row>
    <row r="63" spans="1:38" x14ac:dyDescent="0.3">
      <c r="A63" s="36"/>
      <c r="B63" s="36"/>
      <c r="AK63" s="36"/>
      <c r="AL63" s="36"/>
    </row>
    <row r="64" spans="1:38" x14ac:dyDescent="0.3">
      <c r="A64" s="36"/>
      <c r="B64" s="36"/>
      <c r="AK64" s="36"/>
      <c r="AL64" s="36"/>
    </row>
    <row r="65" spans="1:38" ht="15" thickBot="1" x14ac:dyDescent="0.35">
      <c r="A65" s="36"/>
      <c r="B65" s="36"/>
      <c r="AK65" s="36"/>
      <c r="AL65" s="36"/>
    </row>
    <row r="66" spans="1:38" ht="14.4" customHeight="1" x14ac:dyDescent="0.3">
      <c r="A66" s="36"/>
      <c r="B66" s="36"/>
      <c r="AC66" s="51" t="s">
        <v>421</v>
      </c>
      <c r="AD66" s="52"/>
      <c r="AE66" s="52"/>
      <c r="AF66" s="52"/>
      <c r="AG66" s="52"/>
      <c r="AH66" s="52"/>
      <c r="AI66" s="53"/>
      <c r="AK66" s="36"/>
      <c r="AL66" s="36"/>
    </row>
    <row r="67" spans="1:38" ht="15" customHeight="1" thickBot="1" x14ac:dyDescent="0.35">
      <c r="A67" s="36"/>
      <c r="B67" s="36"/>
      <c r="AC67" s="54"/>
      <c r="AD67" s="55"/>
      <c r="AE67" s="55"/>
      <c r="AF67" s="55"/>
      <c r="AG67" s="55"/>
      <c r="AH67" s="55"/>
      <c r="AI67" s="56"/>
      <c r="AK67" s="36"/>
      <c r="AL67" s="36"/>
    </row>
    <row r="68" spans="1:38" ht="15" thickBot="1" x14ac:dyDescent="0.35">
      <c r="A68" s="36"/>
      <c r="B68" s="36"/>
      <c r="AK68" s="36"/>
      <c r="AL68" s="36"/>
    </row>
    <row r="69" spans="1:38" ht="14.4" customHeight="1" x14ac:dyDescent="0.3">
      <c r="A69" s="36"/>
      <c r="B69" s="36"/>
      <c r="AC69" s="44" t="s">
        <v>422</v>
      </c>
      <c r="AD69" s="45"/>
      <c r="AE69" s="45"/>
      <c r="AF69" s="45"/>
      <c r="AG69" s="45"/>
      <c r="AH69" s="45"/>
      <c r="AI69" s="46"/>
      <c r="AK69" s="36"/>
      <c r="AL69" s="36"/>
    </row>
    <row r="70" spans="1:38" ht="15" thickBot="1" x14ac:dyDescent="0.35">
      <c r="A70" s="36"/>
      <c r="B70" s="36"/>
      <c r="AC70" s="47"/>
      <c r="AD70" s="48"/>
      <c r="AE70" s="48"/>
      <c r="AF70" s="48"/>
      <c r="AG70" s="48"/>
      <c r="AH70" s="48"/>
      <c r="AI70" s="49"/>
      <c r="AK70" s="36"/>
      <c r="AL70" s="36"/>
    </row>
    <row r="71" spans="1:38" ht="15" thickBot="1" x14ac:dyDescent="0.35">
      <c r="A71" s="36"/>
      <c r="B71" s="36"/>
      <c r="AK71" s="36"/>
      <c r="AL71" s="36"/>
    </row>
    <row r="72" spans="1:38" ht="14.4" customHeight="1" x14ac:dyDescent="0.3">
      <c r="A72" s="36"/>
      <c r="B72" s="36"/>
      <c r="AC72" s="44" t="s">
        <v>423</v>
      </c>
      <c r="AD72" s="45"/>
      <c r="AE72" s="45"/>
      <c r="AF72" s="45"/>
      <c r="AG72" s="45"/>
      <c r="AH72" s="45"/>
      <c r="AI72" s="46"/>
      <c r="AK72" s="36"/>
      <c r="AL72" s="36"/>
    </row>
    <row r="73" spans="1:38" ht="15" thickBot="1" x14ac:dyDescent="0.35">
      <c r="A73" s="36"/>
      <c r="B73" s="36"/>
      <c r="AC73" s="47"/>
      <c r="AD73" s="48"/>
      <c r="AE73" s="48"/>
      <c r="AF73" s="48"/>
      <c r="AG73" s="48"/>
      <c r="AH73" s="48"/>
      <c r="AI73" s="49"/>
      <c r="AK73" s="36"/>
      <c r="AL73" s="36"/>
    </row>
    <row r="74" spans="1:38" ht="15" thickBot="1" x14ac:dyDescent="0.35">
      <c r="A74" s="36"/>
      <c r="B74" s="36"/>
      <c r="AK74" s="36"/>
      <c r="AL74" s="36"/>
    </row>
    <row r="75" spans="1:38" ht="14.4" customHeight="1" x14ac:dyDescent="0.3">
      <c r="A75" s="36"/>
      <c r="B75" s="36"/>
      <c r="AC75" s="44" t="s">
        <v>424</v>
      </c>
      <c r="AD75" s="45"/>
      <c r="AE75" s="45"/>
      <c r="AF75" s="45"/>
      <c r="AG75" s="45"/>
      <c r="AH75" s="45"/>
      <c r="AI75" s="46"/>
      <c r="AK75" s="36"/>
      <c r="AL75" s="36"/>
    </row>
    <row r="76" spans="1:38" ht="15" thickBot="1" x14ac:dyDescent="0.35">
      <c r="A76" s="36"/>
      <c r="B76" s="36"/>
      <c r="AC76" s="47"/>
      <c r="AD76" s="48"/>
      <c r="AE76" s="48"/>
      <c r="AF76" s="48"/>
      <c r="AG76" s="48"/>
      <c r="AH76" s="48"/>
      <c r="AI76" s="49"/>
      <c r="AK76" s="36"/>
      <c r="AL76" s="36"/>
    </row>
    <row r="77" spans="1:38" ht="15" thickBot="1" x14ac:dyDescent="0.35">
      <c r="A77" s="36"/>
      <c r="B77" s="36"/>
      <c r="AK77" s="36"/>
      <c r="AL77" s="36"/>
    </row>
    <row r="78" spans="1:38" ht="14.4" customHeight="1" x14ac:dyDescent="0.3">
      <c r="A78" s="36"/>
      <c r="B78" s="36"/>
      <c r="AC78" s="44" t="s">
        <v>425</v>
      </c>
      <c r="AD78" s="45"/>
      <c r="AE78" s="45"/>
      <c r="AF78" s="45"/>
      <c r="AG78" s="45"/>
      <c r="AH78" s="45"/>
      <c r="AI78" s="46"/>
      <c r="AK78" s="36"/>
      <c r="AL78" s="36"/>
    </row>
    <row r="79" spans="1:38" ht="15" thickBot="1" x14ac:dyDescent="0.35">
      <c r="A79" s="36"/>
      <c r="B79" s="36"/>
      <c r="AC79" s="47"/>
      <c r="AD79" s="48"/>
      <c r="AE79" s="48"/>
      <c r="AF79" s="48"/>
      <c r="AG79" s="48"/>
      <c r="AH79" s="48"/>
      <c r="AI79" s="49"/>
      <c r="AK79" s="36"/>
      <c r="AL79" s="36"/>
    </row>
    <row r="80" spans="1:38" ht="15" thickBot="1" x14ac:dyDescent="0.35">
      <c r="A80" s="36"/>
      <c r="B80" s="36"/>
      <c r="AK80" s="36"/>
      <c r="AL80" s="36"/>
    </row>
    <row r="81" spans="1:38" ht="14.4" customHeight="1" x14ac:dyDescent="0.3">
      <c r="A81" s="36"/>
      <c r="B81" s="36"/>
      <c r="AC81" s="44" t="s">
        <v>426</v>
      </c>
      <c r="AD81" s="45"/>
      <c r="AE81" s="45"/>
      <c r="AF81" s="45"/>
      <c r="AG81" s="45"/>
      <c r="AH81" s="45"/>
      <c r="AI81" s="46"/>
      <c r="AK81" s="36"/>
      <c r="AL81" s="36"/>
    </row>
    <row r="82" spans="1:38" ht="15" customHeight="1" thickBot="1" x14ac:dyDescent="0.35">
      <c r="A82" s="36"/>
      <c r="B82" s="36"/>
      <c r="AC82" s="47"/>
      <c r="AD82" s="48"/>
      <c r="AE82" s="48"/>
      <c r="AF82" s="48"/>
      <c r="AG82" s="48"/>
      <c r="AH82" s="48"/>
      <c r="AI82" s="49"/>
      <c r="AK82" s="36"/>
      <c r="AL82" s="36"/>
    </row>
    <row r="83" spans="1:38" ht="15" thickBot="1" x14ac:dyDescent="0.35">
      <c r="A83" s="36"/>
      <c r="B83" s="36"/>
      <c r="AK83" s="36"/>
      <c r="AL83" s="36"/>
    </row>
    <row r="84" spans="1:38" ht="14.4" customHeight="1" x14ac:dyDescent="0.3">
      <c r="A84" s="36"/>
      <c r="B84" s="36"/>
      <c r="AC84" s="44" t="s">
        <v>427</v>
      </c>
      <c r="AD84" s="45"/>
      <c r="AE84" s="45"/>
      <c r="AF84" s="45"/>
      <c r="AG84" s="45"/>
      <c r="AH84" s="45"/>
      <c r="AI84" s="46"/>
      <c r="AK84" s="36"/>
      <c r="AL84" s="36"/>
    </row>
    <row r="85" spans="1:38" ht="15" customHeight="1" thickBot="1" x14ac:dyDescent="0.35">
      <c r="A85" s="36"/>
      <c r="B85" s="36"/>
      <c r="AC85" s="47"/>
      <c r="AD85" s="48"/>
      <c r="AE85" s="48"/>
      <c r="AF85" s="48"/>
      <c r="AG85" s="48"/>
      <c r="AH85" s="48"/>
      <c r="AI85" s="49"/>
      <c r="AK85" s="36"/>
      <c r="AL85" s="36"/>
    </row>
    <row r="86" spans="1:38" x14ac:dyDescent="0.3">
      <c r="A86" s="36"/>
      <c r="B86" s="36"/>
      <c r="AK86" s="36"/>
      <c r="AL86" s="36"/>
    </row>
    <row r="87" spans="1:38" x14ac:dyDescent="0.3">
      <c r="A87" s="36"/>
      <c r="B87" s="36"/>
      <c r="AK87" s="36"/>
      <c r="AL87" s="36"/>
    </row>
    <row r="88" spans="1:38" x14ac:dyDescent="0.3">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row>
    <row r="89" spans="1:38" x14ac:dyDescent="0.3">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row>
    <row r="90" spans="1:38" x14ac:dyDescent="0.3">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row>
    <row r="91" spans="1:38" x14ac:dyDescent="0.3">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row>
    <row r="92" spans="1:38" x14ac:dyDescent="0.3">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row>
    <row r="93" spans="1:38" x14ac:dyDescent="0.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row>
  </sheetData>
  <mergeCells count="18">
    <mergeCell ref="I11:L13"/>
    <mergeCell ref="N9:Q10"/>
    <mergeCell ref="N11:Q13"/>
    <mergeCell ref="AC81:AI82"/>
    <mergeCell ref="AC84:AI85"/>
    <mergeCell ref="A1:AL6"/>
    <mergeCell ref="AC66:AI67"/>
    <mergeCell ref="AC69:AI70"/>
    <mergeCell ref="AC72:AI73"/>
    <mergeCell ref="AC75:AI76"/>
    <mergeCell ref="AC78:AI79"/>
    <mergeCell ref="S9:V10"/>
    <mergeCell ref="S11:V13"/>
    <mergeCell ref="X9:AA10"/>
    <mergeCell ref="X11:AA13"/>
    <mergeCell ref="D9:G10"/>
    <mergeCell ref="D11:G13"/>
    <mergeCell ref="I9:L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Exam_Quation</vt:lpstr>
      <vt:lpstr>Sales_Data</vt:lpstr>
      <vt:lpstr>Formula_sheet</vt:lpstr>
      <vt:lpstr>Pivot_table</vt:lpstr>
      <vt:lpstr>Instructions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Mukesh Kote</cp:lastModifiedBy>
  <dcterms:created xsi:type="dcterms:W3CDTF">2026-06-01T17:46:26Z</dcterms:created>
  <dcterms:modified xsi:type="dcterms:W3CDTF">2026-06-02T04:13:02Z</dcterms:modified>
</cp:coreProperties>
</file>